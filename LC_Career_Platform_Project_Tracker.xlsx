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5863194d343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69d7ed98890464e"/>
    <x:sheet xmlns:r="http://schemas.openxmlformats.org/officeDocument/2006/relationships" name="Roadmap" sheetId="2" r:id="R332956a291504a68"/>
    <x:sheet xmlns:r="http://schemas.openxmlformats.org/officeDocument/2006/relationships" name="Roles &amp; Access" sheetId="3" r:id="Rdad6e507a4e84037"/>
    <x:sheet xmlns:r="http://schemas.openxmlformats.org/officeDocument/2006/relationships" name="Product Scope" sheetId="4" r:id="R2368846ca0f54e3d"/>
    <x:sheet xmlns:r="http://schemas.openxmlformats.org/officeDocument/2006/relationships" name="Research &amp; Testing" sheetId="5" r:id="R2e52ded0df0d4333"/>
    <x:sheet xmlns:r="http://schemas.openxmlformats.org/officeDocument/2006/relationships" name="Decision Log" sheetId="6" r:id="Rcd846a618fd543df"/>
    <x:sheet xmlns:r="http://schemas.openxmlformats.org/officeDocument/2006/relationships" name="Competition Alignment" sheetId="7" r:id="Rba95b44d29524b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293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DCEAF4"/>
      </x:patternFill>
    </x:fill>
    <x:fill>
      <x:patternFill patternType="solid">
        <x:fgColor rgb="FF2A7F7F"/>
      </x:patternFill>
    </x:fill>
    <x:fill>
      <x:patternFill patternType="solid">
        <x:fgColor rgb="FF2F6B9A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left"/>
    </x:xf>
    <x:xf numFmtId="0" fontId="3" fillId="5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 applyAlignment="1">
      <x:alignment horizontal="left" vertical="top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left" vertical="top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/>
    </x:xf>
    <x:xf numFmtId="0" fontId="5" fillId="3" borderId="1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ill>
        <x:patternFill patternType="solid">
          <x:bgColor rgb="FFDFF3E4"/>
        </x:patternFill>
      </x:fill>
    </x:dxf>
    <x:dxf>
      <x:fill>
        <x:patternFill patternType="solid">
          <x:bgColor rgb="FFFFF3CD"/>
        </x:patternFill>
      </x:fill>
    </x:dxf>
    <x:dxf>
      <x:fill>
        <x:patternFill patternType="solid">
          <x:bgColor rgb="FFF8D7DA"/>
        </x:patternFill>
      </x:fill>
    </x:dxf>
    <x:dxf>
      <x:fill>
        <x:patternFill patternType="solid">
          <x:bgColor rgb="FFDFF3E4"/>
        </x:patternFill>
      </x:fill>
    </x:dxf>
    <x:dxf>
      <x:fill>
        <x:patternFill patternType="solid">
          <x:bgColor rgb="FFFFF3CD"/>
        </x:patternFill>
      </x:fill>
    </x:dxf>
    <x:dxf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ef95f596964b06" /><Relationship Type="http://schemas.openxmlformats.org/officeDocument/2006/relationships/theme" Target="/xl/theme/theme1.xml" Id="R9ed97c3da25c48d0" /><Relationship Type="http://schemas.openxmlformats.org/officeDocument/2006/relationships/sharedStrings" Target="/xl/sharedStrings.xml" Id="R4524d86607dd4640" /><Relationship Type="http://schemas.openxmlformats.org/officeDocument/2006/relationships/worksheet" Target="/xl/worksheets/sheet1.xml" Id="R369d7ed98890464e" /><Relationship Type="http://schemas.openxmlformats.org/officeDocument/2006/relationships/worksheet" Target="/xl/worksheets/sheet2.xml" Id="R332956a291504a68" /><Relationship Type="http://schemas.openxmlformats.org/officeDocument/2006/relationships/worksheet" Target="/xl/worksheets/sheet3.xml" Id="Rdad6e507a4e84037" /><Relationship Type="http://schemas.openxmlformats.org/officeDocument/2006/relationships/worksheet" Target="/xl/worksheets/sheet4.xml" Id="R2368846ca0f54e3d" /><Relationship Type="http://schemas.openxmlformats.org/officeDocument/2006/relationships/worksheet" Target="/xl/worksheets/sheet5.xml" Id="R2e52ded0df0d4333" /><Relationship Type="http://schemas.openxmlformats.org/officeDocument/2006/relationships/worksheet" Target="/xl/worksheets/sheet6.xml" Id="Rcd846a618fd543df" /><Relationship Type="http://schemas.openxmlformats.org/officeDocument/2006/relationships/worksheet" Target="/xl/worksheets/sheet7.xml" Id="Rba95b44d29524b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8bdca392c72479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Task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'Dashboard'!$A$7:$A$10</c:f>
              <c:strCache>
                <c:ptCount val="0"/>
              </c:strCache>
            </c:strRef>
          </c:cat>
          <c:val>
            <c:numRef>
              <c:f>'Dashboard'!$B$7:$B$10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28</xdr:row>
      <xdr:rowOff>0</xdr:rowOff>
    </xdr:from>
    <xdr:to>
      <xdr:col>4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bdca392c72479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oadmapTasks" displayName="RoadmapTasks" ref="A2:J35" headerRowCount="1">
  <x:tableColumns count="10">
    <x:tableColumn id="1" name="ID"/>
    <x:tableColumn id="2" name="Phase"/>
    <x:tableColumn id="3" name="Workstream"/>
    <x:tableColumn id="4" name="Task"/>
    <x:tableColumn id="5" name="Deliverable / Definition of Done"/>
    <x:tableColumn id="6" name="Priority"/>
    <x:tableColumn id="7" name="Status"/>
    <x:tableColumn id="8" name="Owner"/>
    <x:tableColumn id="9" name="Target Date"/>
    <x:tableColumn id="10" name="Notes / Dependencies"/>
  </x:tableColumns>
  <x:tableStyleInfo name="TableStyleMedium2" showRowStripes="1"/>
</x:table>
</file>

<file path=xl/tables/table2.xml><?xml version="1.0" encoding="utf-8"?>
<x:table xmlns:x="http://schemas.openxmlformats.org/spreadsheetml/2006/main" id="2" name="ResearchLog" displayName="ResearchLog" ref="A3:J50" headerRowCount="1">
  <x:tableColumns count="10">
    <x:tableColumn id="1" name="ID"/>
    <x:tableColumn id="2" name="Type"/>
    <x:tableColumn id="3" name="Participant / Group"/>
    <x:tableColumn id="4" name="Perspective"/>
    <x:tableColumn id="5" name="Date"/>
    <x:tableColumn id="6" name="Main question"/>
    <x:tableColumn id="7" name="Key finding"/>
    <x:tableColumn id="8" name="Decision affected"/>
    <x:tableColumn id="9" name="Follow-up"/>
    <x:tableColumn id="10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60b61acc48548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7769bf7e524a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beca5021f5fd49d8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10" hidden="0" customWidth="1"/>
    <x:col min="5" max="5" width="22" hidden="0" customWidth="1"/>
    <x:col min="6" max="6" width="15" hidden="0" customWidth="1"/>
    <x:col min="7" max="7" width="14" hidden="0" customWidth="1"/>
    <x:col min="8" max="8" width="30" hidden="0" customWidth="1"/>
  </x:cols>
  <x:sheetData>
    <x:row r="1">
      <x:c r="A1" s="52" t="str">
        <x:v>L&amp;C Career Platform Project Tracker</x:v>
      </x:c>
      <x:c r="B1" s="52"/>
      <x:c r="C1" s="52"/>
      <x:c r="D1" s="52"/>
      <x:c r="E1" s="52"/>
      <x:c r="F1" s="52"/>
      <x:c r="G1" s="52"/>
      <x:c r="H1" s="52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2"/>
      <x:c r="B2" s="52"/>
      <x:c r="C2" s="52"/>
      <x:c r="D2" s="52"/>
      <x:c r="E2" s="52"/>
      <x:c r="F2" s="52"/>
      <x:c r="G2" s="52"/>
      <x:c r="H2" s="52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 ht="48" customHeight="1">
      <x:c r="A3" s="54" t="str">
        <x:v>Mission: Build a useful, student-centered career platform that strengthens the Career Center and Career Accelerator. Competition success is welcome, but student usefulness, privacy, accessibility, and long-term sustainability come first.</x:v>
      </x:c>
      <x:c r="B3" s="54"/>
      <x:c r="C3" s="54"/>
      <x:c r="D3" s="54"/>
      <x:c r="E3" s="54"/>
      <x:c r="F3" s="54"/>
      <x:c r="G3" s="54"/>
      <x:c r="H3" s="54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53"/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55" t="str">
        <x:v>Project Health</x:v>
      </x:c>
      <x:c r="B5" s="55" t="str">
        <x:v>Value</x:v>
      </x:c>
      <x:c r="C5" s="53"/>
      <x:c r="D5" s="56" t="str">
        <x:v>Project principles</x:v>
      </x:c>
      <x:c r="E5" s="56"/>
      <x:c r="F5" s="56"/>
      <x:c r="G5" s="56"/>
      <x:c r="H5" s="56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53" t="str">
        <x:v>Total tasks</x:v>
      </x:c>
      <x:c r="B6" s="53" t="n">
        <x:f>COUNTA(Roadmap!A2:A200)</x:f>
        <x:v>34</x:v>
      </x:c>
      <x:c r="C6" s="53"/>
      <x:c r="D6" s="57" t="str">
        <x:v>1</x:v>
      </x:c>
      <x:c r="E6" s="57" t="str">
        <x:v>Student-centered</x:v>
      </x:c>
      <x:c r="F6" s="58" t="str">
        <x:v>Every feature must solve a real student problem.</x:v>
      </x:c>
      <x:c r="G6" s="58" t="str"/>
      <x:c r="H6" s="58" t="str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53" t="str">
        <x:v>Completed</x:v>
      </x:c>
      <x:c r="B7" s="53" t="n">
        <x:f>COUNTIF(Roadmap!G2:G200,"Complete")</x:f>
        <x:v>0</x:v>
      </x:c>
      <x:c r="C7" s="53"/>
      <x:c r="D7" s="57" t="str">
        <x:v>2</x:v>
      </x:c>
      <x:c r="E7" s="57" t="str">
        <x:v>Private by default</x:v>
      </x:c>
      <x:c r="F7" s="58" t="str">
        <x:v>Students control sharing and access.</x:v>
      </x:c>
      <x:c r="G7" s="58" t="str"/>
      <x:c r="H7" s="58" t="str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53" t="str">
        <x:v>In progress</x:v>
      </x:c>
      <x:c r="B8" s="53" t="n">
        <x:f>COUNTIF(Roadmap!G2:G200,"In Progress")</x:f>
        <x:v>0</x:v>
      </x:c>
      <x:c r="C8" s="53"/>
      <x:c r="D8" s="57" t="str">
        <x:v>3</x:v>
      </x:c>
      <x:c r="E8" s="57" t="str">
        <x:v>Support people, not replace them</x:v>
      </x:c>
      <x:c r="F8" s="58" t="str">
        <x:v>Technology should improve advising and faculty support.</x:v>
      </x:c>
      <x:c r="G8" s="58" t="str"/>
      <x:c r="H8" s="58" t="str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3" t="str">
        <x:v>Not started</x:v>
      </x:c>
      <x:c r="B9" s="53" t="n">
        <x:f>COUNTIF(Roadmap!G2:G200,"Not Started")</x:f>
        <x:v>30</x:v>
      </x:c>
      <x:c r="C9" s="53"/>
      <x:c r="D9" s="57" t="str">
        <x:v>4</x:v>
      </x:c>
      <x:c r="E9" s="57" t="str">
        <x:v>Accessible</x:v>
      </x:c>
      <x:c r="F9" s="58" t="str">
        <x:v>Works across devices and for users with different needs.</x:v>
      </x:c>
      <x:c r="G9" s="58" t="str"/>
      <x:c r="H9" s="58" t="str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3" t="str">
        <x:v>Blocked</x:v>
      </x:c>
      <x:c r="B10" s="53" t="n">
        <x:f>COUNTIF(Roadmap!G2:G200,"Blocked")</x:f>
        <x:v>0</x:v>
      </x:c>
      <x:c r="C10" s="53"/>
      <x:c r="D10" s="57" t="str">
        <x:v>5</x:v>
      </x:c>
      <x:c r="E10" s="57" t="str">
        <x:v>Sustainable</x:v>
      </x:c>
      <x:c r="F10" s="58" t="str">
        <x:v>Simple enough to maintain after the competition.</x:v>
      </x:c>
      <x:c r="G10" s="58" t="str"/>
      <x:c r="H10" s="58" t="str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3" t="str">
        <x:v>Completion rate</x:v>
      </x:c>
      <x:c r="B11" s="59" t="n">
        <x:f>IF(B6=0,0,B7/B6)</x:f>
        <x:v>0</x:v>
      </x:c>
      <x:c r="C11" s="53"/>
      <x:c r="D11" s="57" t="str">
        <x:v>6</x:v>
      </x:c>
      <x:c r="E11" s="57" t="str">
        <x:v>Evidence-driven</x:v>
      </x:c>
      <x:c r="F11" s="58" t="str">
        <x:v>Research and testing guide priorities.</x:v>
      </x:c>
      <x:c r="G11" s="58" t="str"/>
      <x:c r="H11" s="58" t="str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3"/>
      <x:c r="B12" s="53"/>
      <x:c r="C12" s="53"/>
      <x:c r="D12" s="53"/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56" t="str">
        <x:v>Current recommended scope</x:v>
      </x:c>
      <x:c r="B13" s="56"/>
      <x:c r="C13" s="56"/>
      <x:c r="D13" s="56"/>
      <x:c r="E13" s="56"/>
      <x:c r="F13" s="56"/>
      <x:c r="G13" s="56"/>
      <x:c r="H13" s="56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55" t="str">
        <x:v>Phase</x:v>
      </x:c>
      <x:c r="B14" s="55" t="str">
        <x:v>Focus</x:v>
      </x:c>
      <x:c r="C14" s="55" t="str">
        <x:v>Primary users</x:v>
      </x:c>
      <x:c r="D14" s="55" t="str">
        <x:v>Key deliverables</x:v>
      </x:c>
      <x:c r="E14" s="55" t="str">
        <x:v>Why now</x:v>
      </x:c>
      <x:c r="F14" s="55" t="str">
        <x:v>Competition fit</x:v>
      </x:c>
      <x:c r="G14" s="55" t="str">
        <x:v>Long-term value</x:v>
      </x:c>
      <x:c r="H14" s="55" t="str">
        <x:v>Status</x:v>
      </x:c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58" t="str">
        <x:v>1</x:v>
      </x:c>
      <x:c r="B15" s="58" t="str">
        <x:v>Responsive web MVP</x:v>
      </x:c>
      <x:c r="C15" s="58" t="str">
        <x:v>Students, Career Advisors, Admin</x:v>
      </x:c>
      <x:c r="D15" s="58" t="str">
        <x:v>Experiences, skills, tasks, sharing, advisor view</x:v>
      </x:c>
      <x:c r="E15" s="58" t="str">
        <x:v>Core foundation</x:v>
      </x:c>
      <x:c r="F15" s="58" t="str">
        <x:v>Directly addresses challenge</x:v>
      </x:c>
      <x:c r="G15" s="58" t="str">
        <x:v>High</x:v>
      </x:c>
      <x:c r="H15" s="58" t="str">
        <x:v>Planned</x:v>
      </x:c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8" t="str">
        <x:v>2</x:v>
      </x:c>
      <x:c r="B16" s="58" t="str">
        <x:v>Faculty contributions</x:v>
      </x:c>
      <x:c r="C16" s="58" t="str">
        <x:v>Students, Faculty Contributors</x:v>
      </x:c>
      <x:c r="D16" s="58" t="str">
        <x:v>Career resources and research opportunities</x:v>
      </x:c>
      <x:c r="E16" s="58" t="str">
        <x:v>Adds L&amp;C-specific value</x:v>
      </x:c>
      <x:c r="F16" s="58" t="str">
        <x:v>Innovation</x:v>
      </x:c>
      <x:c r="G16" s="58" t="str">
        <x:v>High</x:v>
      </x:c>
      <x:c r="H16" s="58" t="str">
        <x:v>Planned</x:v>
      </x:c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8" t="str">
        <x:v>3</x:v>
      </x:c>
      <x:c r="B17" s="58" t="str">
        <x:v>Recommendation requests</x:v>
      </x:c>
      <x:c r="C17" s="58" t="str">
        <x:v>Students, Faculty</x:v>
      </x:c>
      <x:c r="D17" s="58" t="str">
        <x:v>Structured request form, document sharing, reminders</x:v>
      </x:c>
      <x:c r="E17" s="58" t="str">
        <x:v>Useful but privacy-sensitive</x:v>
      </x:c>
      <x:c r="F17" s="58" t="str">
        <x:v>Optional bonus</x:v>
      </x:c>
      <x:c r="G17" s="58" t="str">
        <x:v>Medium-High</x:v>
      </x:c>
      <x:c r="H17" s="58" t="str">
        <x:v>Backlog</x:v>
      </x:c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8" t="str">
        <x:v>4</x:v>
      </x:c>
      <x:c r="B18" s="58" t="str">
        <x:v>Mobile app</x:v>
      </x:c>
      <x:c r="C18" s="58" t="str">
        <x:v>Students</x:v>
      </x:c>
      <x:c r="D18" s="58" t="str">
        <x:v>Quick updates and notifications using same API</x:v>
      </x:c>
      <x:c r="E18" s="58" t="str">
        <x:v>Only after web usage is validated</x:v>
      </x:c>
      <x:c r="F18" s="58" t="str">
        <x:v>Not needed initially</x:v>
      </x:c>
      <x:c r="G18" s="58" t="str">
        <x:v>Medium</x:v>
      </x:c>
      <x:c r="H18" s="58" t="str">
        <x:v>Later</x:v>
      </x:c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6" t="str">
        <x:v>Immediate next actions</x:v>
      </x:c>
      <x:c r="B20" s="56"/>
      <x:c r="C20" s="56"/>
      <x:c r="D20" s="56"/>
      <x:c r="E20" s="56"/>
      <x:c r="F20" s="56"/>
      <x:c r="G20" s="56"/>
      <x:c r="H20" s="56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60" t="str">
        <x:v>#</x:v>
      </x:c>
      <x:c r="B21" s="60" t="str">
        <x:v>Action</x:v>
      </x:c>
      <x:c r="C21" s="60" t="str">
        <x:v>Owner</x:v>
      </x:c>
      <x:c r="D21" s="60" t="str">
        <x:v>Area</x:v>
      </x:c>
      <x:c r="E21" s="60" t="str">
        <x:v>Priority</x:v>
      </x:c>
      <x:c r="F21" s="60" t="str">
        <x:v>Status</x:v>
      </x:c>
      <x:c r="G21" s="60" t="str">
        <x:v>Due date</x:v>
      </x:c>
      <x:c r="H21" s="60" t="str">
        <x:v>Reason</x:v>
      </x:c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8" t="n">
        <x:v>1</x:v>
      </x:c>
      <x:c r="B22" s="58" t="str">
        <x:v>Interview 5–8 students from different majors/class years</x:v>
      </x:c>
      <x:c r="C22" s="58" t="str">
        <x:v>Daniel</x:v>
      </x:c>
      <x:c r="D22" s="58" t="str">
        <x:v>Research</x:v>
      </x:c>
      <x:c r="E22" s="58" t="str">
        <x:v>High</x:v>
      </x:c>
      <x:c r="F22" s="58" t="str">
        <x:v>Not Started</x:v>
      </x:c>
      <x:c r="G22" s="58"/>
      <x:c r="H22" s="58" t="str">
        <x:v>Validate real problems before coding</x:v>
      </x:c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8" t="n">
        <x:v>2</x:v>
      </x:c>
      <x:c r="B23" s="58" t="str">
        <x:v>Meet with Career Center/Career Accelerator staff</x:v>
      </x:c>
      <x:c r="C23" s="58" t="str">
        <x:v>Daniel</x:v>
      </x:c>
      <x:c r="D23" s="58" t="str">
        <x:v>Research</x:v>
      </x:c>
      <x:c r="E23" s="58" t="str">
        <x:v>High</x:v>
      </x:c>
      <x:c r="F23" s="58" t="str">
        <x:v>Not Started</x:v>
      </x:c>
      <x:c r="G23" s="58"/>
      <x:c r="H23" s="58" t="str">
        <x:v>Understand workflows and data boundaries</x:v>
      </x:c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8" t="n">
        <x:v>3</x:v>
      </x:c>
      <x:c r="B24" s="58" t="str">
        <x:v>Finalize MVP requirements and non-goals</x:v>
      </x:c>
      <x:c r="C24" s="58" t="str">
        <x:v>Daniel</x:v>
      </x:c>
      <x:c r="D24" s="58" t="str">
        <x:v>Planning</x:v>
      </x:c>
      <x:c r="E24" s="58" t="str">
        <x:v>High</x:v>
      </x:c>
      <x:c r="F24" s="58" t="str">
        <x:v>Not Started</x:v>
      </x:c>
      <x:c r="G24" s="58"/>
      <x:c r="H24" s="58" t="str">
        <x:v>Prevent scope creep</x:v>
      </x:c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8" t="n">
        <x:v>4</x:v>
      </x:c>
      <x:c r="B25" s="58" t="str">
        <x:v>Create wireframes for student and advisor flows</x:v>
      </x:c>
      <x:c r="C25" s="58" t="str">
        <x:v>Daniel</x:v>
      </x:c>
      <x:c r="D25" s="58" t="str">
        <x:v>Design</x:v>
      </x:c>
      <x:c r="E25" s="58" t="str">
        <x:v>High</x:v>
      </x:c>
      <x:c r="F25" s="58" t="str">
        <x:v>Not Started</x:v>
      </x:c>
      <x:c r="G25" s="58"/>
      <x:c r="H25" s="58" t="str">
        <x:v>Test usability early</x:v>
      </x:c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8" t="n">
        <x:v>5</x:v>
      </x:c>
      <x:c r="B26" s="58" t="str">
        <x:v>Define database schema and access-control rules</x:v>
      </x:c>
      <x:c r="C26" s="58" t="str">
        <x:v>Daniel</x:v>
      </x:c>
      <x:c r="D26" s="58" t="str">
        <x:v>Backend</x:v>
      </x:c>
      <x:c r="E26" s="58" t="str">
        <x:v>High</x:v>
      </x:c>
      <x:c r="F26" s="58" t="str">
        <x:v>Not Started</x:v>
      </x:c>
      <x:c r="G26" s="58"/>
      <x:c r="H26" s="58" t="str">
        <x:v>Security must be designed early</x:v>
      </x:c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8" t="n">
        <x:v>6</x:v>
      </x:c>
      <x:c r="B27" s="58" t="str">
        <x:v>Build first end-to-end experience tracking flow</x:v>
      </x:c>
      <x:c r="C27" s="58" t="str">
        <x:v>Daniel</x:v>
      </x:c>
      <x:c r="D27" s="58" t="str">
        <x:v>Development</x:v>
      </x:c>
      <x:c r="E27" s="58" t="str">
        <x:v>High</x:v>
      </x:c>
      <x:c r="F27" s="58" t="str">
        <x:v>Not Started</x:v>
      </x:c>
      <x:c r="G27" s="58"/>
      <x:c r="H27" s="58" t="str">
        <x:v>Demonstrate real value quickly</x:v>
      </x:c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mergeCells>
    <x:mergeCell ref="A1:H2"/>
    <x:mergeCell ref="A3:H3"/>
    <x:mergeCell ref="D5:H5"/>
    <x:mergeCell ref="A13:H13"/>
    <x:mergeCell ref="A20:H20"/>
  </x:mergeCells>
  <x:conditionalFormatting sqref="F22:F27">
    <x:cfRule type="expression" dxfId="3" priority="1">
      <x:formula>F22="Complete"</x:formula>
    </x:cfRule>
    <x:cfRule type="expression" dxfId="4" priority="2">
      <x:formula>F22="In Progress"</x:formula>
    </x:cfRule>
    <x:cfRule type="expression" dxfId="5" priority="3">
      <x:formula>F22="Blocked"</x:formula>
    </x:cfRule>
  </x:conditionalFormatting>
  <x:dataValidations count="2">
    <x:dataValidation type="list" sqref="F22:F27">
      <x:formula1>"Not Started,In Progress,Blocked,Complete"</x:formula1>
    </x:dataValidation>
    <x:dataValidation type="list" sqref="E22:E27">
      <x:formula1>"High,Medium,Low"</x:formula1>
    </x:dataValidation>
  </x:dataValidations>
  <x:pageMargins left="0.7" right="0.7" top="0.75" bottom="0.75" header="0.3" footer="0.3"/>
  <x:drawing xmlns:r="http://schemas.openxmlformats.org/officeDocument/2006/relationships" r:id="R660b61acc485489c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30" hidden="0" customWidth="1"/>
    <x:col min="5" max="5" width="36" hidden="0" customWidth="1"/>
    <x:col min="6" max="6" width="10" hidden="0" customWidth="1"/>
    <x:col min="7" max="7" width="14" hidden="0" customWidth="1"/>
    <x:col min="8" max="8" width="14" hidden="0" customWidth="1"/>
    <x:col min="9" max="9" width="13" hidden="0" customWidth="1"/>
    <x:col min="10" max="10" width="34" hidden="0" customWidth="1"/>
  </x:cols>
  <x:sheetData>
    <x:row r="1">
      <x:c r="A1" s="52" t="str">
        <x:v>Development Roadmap and Task Tracker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5" t="str">
        <x:v>ID</x:v>
      </x:c>
      <x:c r="B2" s="55" t="str">
        <x:v>Phase</x:v>
      </x:c>
      <x:c r="C2" s="55" t="str">
        <x:v>Workstream</x:v>
      </x:c>
      <x:c r="D2" s="55" t="str">
        <x:v>Task</x:v>
      </x:c>
      <x:c r="E2" s="55" t="str">
        <x:v>Deliverable / Definition of Done</x:v>
      </x:c>
      <x:c r="F2" s="55" t="str">
        <x:v>Priority</x:v>
      </x:c>
      <x:c r="G2" s="55" t="str">
        <x:v>Status</x:v>
      </x:c>
      <x:c r="H2" s="55" t="str">
        <x:v>Owner</x:v>
      </x:c>
      <x:c r="I2" s="55" t="str">
        <x:v>Target Date</x:v>
      </x:c>
      <x:c r="J2" s="55" t="str">
        <x:v>Notes / Dependencies</x:v>
      </x:c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8" t="str">
        <x:v>R-01</x:v>
      </x:c>
      <x:c r="B3" s="58" t="str">
        <x:v>Discovery</x:v>
      </x:c>
      <x:c r="C3" s="58" t="str">
        <x:v>Student research</x:v>
      </x:c>
      <x:c r="D3" s="58" t="str">
        <x:v>Interview students across majors and class years</x:v>
      </x:c>
      <x:c r="E3" s="58" t="str">
        <x:v>At least 5 interviews summarized with recurring needs and pain points</x:v>
      </x:c>
      <x:c r="F3" s="58" t="str">
        <x:v>High</x:v>
      </x:c>
      <x:c r="G3" s="58" t="str">
        <x:v>Not Started</x:v>
      </x:c>
      <x:c r="H3" s="58" t="str">
        <x:v>Daniel</x:v>
      </x:c>
      <x:c r="I3" s="58"/>
      <x:c r="J3" s="58" t="str">
        <x:v>Include international students, athletes, first-years, and seniors</x:v>
      </x:c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58" t="str">
        <x:v>R-02</x:v>
      </x:c>
      <x:c r="B4" s="58" t="str">
        <x:v>Discovery</x:v>
      </x:c>
      <x:c r="C4" s="58" t="str">
        <x:v>Staff research</x:v>
      </x:c>
      <x:c r="D4" s="58" t="str">
        <x:v>Interview Career Center and Career Accelerator staff</x:v>
      </x:c>
      <x:c r="E4" s="58" t="str">
        <x:v>Document current workflows, tools, bottlenecks, and desired outcomes</x:v>
      </x:c>
      <x:c r="F4" s="58" t="str">
        <x:v>High</x:v>
      </x:c>
      <x:c r="G4" s="58" t="str">
        <x:v>Not Started</x:v>
      </x:c>
      <x:c r="H4" s="58" t="str">
        <x:v>Daniel</x:v>
      </x:c>
      <x:c r="I4" s="58"/>
      <x:c r="J4" s="58" t="str">
        <x:v>Clarify what should integrate with Handshake</x:v>
      </x:c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58" t="str">
        <x:v>R-03</x:v>
      </x:c>
      <x:c r="B5" s="58" t="str">
        <x:v>Discovery</x:v>
      </x:c>
      <x:c r="C5" s="58" t="str">
        <x:v>Faculty research</x:v>
      </x:c>
      <x:c r="D5" s="58" t="str">
        <x:v>Interview 2–3 faculty members</x:v>
      </x:c>
      <x:c r="E5" s="58" t="str">
        <x:v>Validate resource-sharing and recommendation-letter ideas</x:v>
      </x:c>
      <x:c r="F5" s="58" t="str">
        <x:v>Medium</x:v>
      </x:c>
      <x:c r="G5" s="58" t="str">
        <x:v>Not Started</x:v>
      </x:c>
      <x:c r="H5" s="58" t="str">
        <x:v>Daniel</x:v>
      </x:c>
      <x:c r="I5" s="58"/>
      <x:c r="J5" s="58" t="str">
        <x:v>Ask how much time they can realistically contribute</x:v>
      </x:c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58" t="str">
        <x:v>R-04</x:v>
      </x:c>
      <x:c r="B6" s="58" t="str">
        <x:v>Discovery</x:v>
      </x:c>
      <x:c r="C6" s="58" t="str">
        <x:v>Privacy research</x:v>
      </x:c>
      <x:c r="D6" s="58" t="str">
        <x:v>Identify institutional privacy and data-handling requirements</x:v>
      </x:c>
      <x:c r="E6" s="58" t="str">
        <x:v>Written list of required controls and unresolved policy questions</x:v>
      </x:c>
      <x:c r="F6" s="58" t="str">
        <x:v>High</x:v>
      </x:c>
      <x:c r="G6" s="58" t="str">
        <x:v>Not Started</x:v>
      </x:c>
      <x:c r="H6" s="58" t="str">
        <x:v>Daniel</x:v>
      </x:c>
      <x:c r="I6" s="58"/>
      <x:c r="J6" s="58" t="str">
        <x:v>Do not collect sensitive data without a clear purpose</x:v>
      </x:c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58" t="str">
        <x:v>P-01</x:v>
      </x:c>
      <x:c r="B7" s="58" t="str">
        <x:v>Planning</x:v>
      </x:c>
      <x:c r="C7" s="58" t="str">
        <x:v>Product definition</x:v>
      </x:c>
      <x:c r="D7" s="58" t="str">
        <x:v>Write problem statement and target outcomes</x:v>
      </x:c>
      <x:c r="E7" s="58" t="str">
        <x:v>One-page product brief approved for use throughout project</x:v>
      </x:c>
      <x:c r="F7" s="58" t="str">
        <x:v>High</x:v>
      </x:c>
      <x:c r="G7" s="58" t="str">
        <x:v>Not Started</x:v>
      </x:c>
      <x:c r="H7" s="58" t="str">
        <x:v>Daniel</x:v>
      </x:c>
      <x:c r="I7" s="58"/>
      <x:c r="J7" s="58" t="str">
        <x:v>Use student value as primary criterion</x:v>
      </x:c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58" t="str">
        <x:v>P-02</x:v>
      </x:c>
      <x:c r="B8" s="58" t="str">
        <x:v>Planning</x:v>
      </x:c>
      <x:c r="C8" s="58" t="str">
        <x:v>Scope</x:v>
      </x:c>
      <x:c r="D8" s="58" t="str">
        <x:v>Define MVP and non-goals</x:v>
      </x:c>
      <x:c r="E8" s="58" t="str">
        <x:v>MVP list and deferred-feature list finalized</x:v>
      </x:c>
      <x:c r="F8" s="58" t="str">
        <x:v>High</x:v>
      </x:c>
      <x:c r="G8" s="58" t="str">
        <x:v>Not Started</x:v>
      </x:c>
      <x:c r="H8" s="58" t="str">
        <x:v>Daniel</x:v>
      </x:c>
      <x:c r="I8" s="58"/>
      <x:c r="J8" s="58" t="str">
        <x:v>Recommendation letters and mobile app likely deferred</x:v>
      </x:c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8" t="str">
        <x:v>P-03</x:v>
      </x:c>
      <x:c r="B9" s="58" t="str">
        <x:v>Planning</x:v>
      </x:c>
      <x:c r="C9" s="58" t="str">
        <x:v>Success metrics</x:v>
      </x:c>
      <x:c r="D9" s="58" t="str">
        <x:v>Define success measures</x:v>
      </x:c>
      <x:c r="E9" s="58" t="str">
        <x:v>Metrics for usability, engagement, advising value, and privacy confidence</x:v>
      </x:c>
      <x:c r="F9" s="58" t="str">
        <x:v>Medium</x:v>
      </x:c>
      <x:c r="G9" s="58" t="str">
        <x:v>Not Started</x:v>
      </x:c>
      <x:c r="H9" s="58" t="str">
        <x:v>Daniel</x:v>
      </x:c>
      <x:c r="I9" s="58"/>
      <x:c r="J9" s="58" t="str">
        <x:v>Examples: task completion, return usage, student confidence</x:v>
      </x:c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8" t="str">
        <x:v>D-01</x:v>
      </x:c>
      <x:c r="B10" s="58" t="str">
        <x:v>Design</x:v>
      </x:c>
      <x:c r="C10" s="58" t="str">
        <x:v>Information architecture</x:v>
      </x:c>
      <x:c r="D10" s="58" t="str">
        <x:v>Map pages and navigation</x:v>
      </x:c>
      <x:c r="E10" s="58" t="str">
        <x:v>Student, advisor, faculty, and admin site maps</x:v>
      </x:c>
      <x:c r="F10" s="58" t="str">
        <x:v>High</x:v>
      </x:c>
      <x:c r="G10" s="58" t="str">
        <x:v>Not Started</x:v>
      </x:c>
      <x:c r="H10" s="58" t="str">
        <x:v>Daniel</x:v>
      </x:c>
      <x:c r="I10" s="58"/>
      <x:c r="J10" s="58" t="str">
        <x:v>Keep each role focused</x:v>
      </x:c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8" t="str">
        <x:v>D-02</x:v>
      </x:c>
      <x:c r="B11" s="58" t="str">
        <x:v>Design</x:v>
      </x:c>
      <x:c r="C11" s="58" t="str">
        <x:v>Wireframes</x:v>
      </x:c>
      <x:c r="D11" s="58" t="str">
        <x:v>Create student dashboard wireframe</x:v>
      </x:c>
      <x:c r="E11" s="58" t="str">
        <x:v>Dashboard tested with at least 3 students</x:v>
      </x:c>
      <x:c r="F11" s="58" t="str">
        <x:v>High</x:v>
      </x:c>
      <x:c r="G11" s="58" t="str">
        <x:v>Not Started</x:v>
      </x:c>
      <x:c r="H11" s="58" t="str">
        <x:v>Daniel</x:v>
      </x:c>
      <x:c r="I11" s="58"/>
      <x:c r="J11" s="58" t="str">
        <x:v>Show next action, experiences, skills, and privacy</x:v>
      </x:c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8" t="str">
        <x:v>D-03</x:v>
      </x:c>
      <x:c r="B12" s="58" t="str">
        <x:v>Design</x:v>
      </x:c>
      <x:c r="C12" s="58" t="str">
        <x:v>Wireframes</x:v>
      </x:c>
      <x:c r="D12" s="58" t="str">
        <x:v>Create Career Advisor dashboard wireframe</x:v>
      </x:c>
      <x:c r="E12" s="58" t="str">
        <x:v>Advisor flow reviewed by Career Center staff</x:v>
      </x:c>
      <x:c r="F12" s="58" t="str">
        <x:v>High</x:v>
      </x:c>
      <x:c r="G12" s="58" t="str">
        <x:v>Not Started</x:v>
      </x:c>
      <x:c r="H12" s="58" t="str">
        <x:v>Daniel</x:v>
      </x:c>
      <x:c r="I12" s="58"/>
      <x:c r="J12" s="58" t="str">
        <x:v>Only show authorized student data</x:v>
      </x:c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58" t="str">
        <x:v>D-04</x:v>
      </x:c>
      <x:c r="B13" s="58" t="str">
        <x:v>Design</x:v>
      </x:c>
      <x:c r="C13" s="58" t="str">
        <x:v>Accessibility</x:v>
      </x:c>
      <x:c r="D13" s="58" t="str">
        <x:v>Create accessibility checklist</x:v>
      </x:c>
      <x:c r="E13" s="58" t="str">
        <x:v>Checklist covers keyboard, contrast, labels, focus states, mobile layout</x:v>
      </x:c>
      <x:c r="F13" s="58" t="str">
        <x:v>High</x:v>
      </x:c>
      <x:c r="G13" s="58" t="str">
        <x:v>Not Started</x:v>
      </x:c>
      <x:c r="H13" s="58" t="str">
        <x:v>Daniel</x:v>
      </x:c>
      <x:c r="I13" s="58"/>
      <x:c r="J13" s="58" t="str">
        <x:v>Test throughout, not only at the end</x:v>
      </x:c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58" t="str">
        <x:v>B-01</x:v>
      </x:c>
      <x:c r="B14" s="58" t="str">
        <x:v>Backend</x:v>
      </x:c>
      <x:c r="C14" s="58" t="str">
        <x:v>Architecture</x:v>
      </x:c>
      <x:c r="D14" s="58" t="str">
        <x:v>Select backend stack and deployment approach</x:v>
      </x:c>
      <x:c r="E14" s="58" t="str">
        <x:v>Architecture decision recorded</x:v>
      </x:c>
      <x:c r="F14" s="58" t="str">
        <x:v>High</x:v>
      </x:c>
      <x:c r="G14" s="58" t="str">
        <x:v>Not Started</x:v>
      </x:c>
      <x:c r="H14" s="58" t="str">
        <x:v>Daniel</x:v>
      </x:c>
      <x:c r="I14" s="58"/>
      <x:c r="J14" s="58" t="str">
        <x:v>Recommended: FastAPI or NestJS + PostgreSQL + Docker</x:v>
      </x:c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58" t="str">
        <x:v>B-02</x:v>
      </x:c>
      <x:c r="B15" s="58" t="str">
        <x:v>Backend</x:v>
      </x:c>
      <x:c r="C15" s="58" t="str">
        <x:v>Database</x:v>
      </x:c>
      <x:c r="D15" s="58" t="str">
        <x:v>Design initial schema</x:v>
      </x:c>
      <x:c r="E15" s="58" t="str">
        <x:v>ERD covers users, roles, experiences, skills, tasks, sharing, audit logs</x:v>
      </x:c>
      <x:c r="F15" s="58" t="str">
        <x:v>High</x:v>
      </x:c>
      <x:c r="G15" s="58" t="str">
        <x:v>Not Started</x:v>
      </x:c>
      <x:c r="H15" s="58" t="str">
        <x:v>Daniel</x:v>
      </x:c>
      <x:c r="I15" s="58"/>
      <x:c r="J15" s="58" t="str">
        <x:v>Include ownership and timestamps on student data</x:v>
      </x:c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8" t="str">
        <x:v>B-03</x:v>
      </x:c>
      <x:c r="B16" s="58" t="str">
        <x:v>Backend</x:v>
      </x:c>
      <x:c r="C16" s="58" t="str">
        <x:v>Authentication</x:v>
      </x:c>
      <x:c r="D16" s="58" t="str">
        <x:v>Implement prototype authentication</x:v>
      </x:c>
      <x:c r="E16" s="58" t="str">
        <x:v>Users can register/sign in securely in prototype</x:v>
      </x:c>
      <x:c r="F16" s="58" t="str">
        <x:v>High</x:v>
      </x:c>
      <x:c r="G16" s="58" t="str">
        <x:v>Not Started</x:v>
      </x:c>
      <x:c r="H16" s="58" t="str">
        <x:v>Daniel</x:v>
      </x:c>
      <x:c r="I16" s="58"/>
      <x:c r="J16" s="58" t="str">
        <x:v>Plan for future L&amp;C SSO</x:v>
      </x:c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8" t="str">
        <x:v>B-04</x:v>
      </x:c>
      <x:c r="B17" s="58" t="str">
        <x:v>Backend</x:v>
      </x:c>
      <x:c r="C17" s="58" t="str">
        <x:v>Authorization</x:v>
      </x:c>
      <x:c r="D17" s="58" t="str">
        <x:v>Implement role and record-level access</x:v>
      </x:c>
      <x:c r="E17" s="58" t="str">
        <x:v>Backend checks ownership, role, consent, and purpose</x:v>
      </x:c>
      <x:c r="F17" s="58" t="str">
        <x:v>High</x:v>
      </x:c>
      <x:c r="G17" s="58" t="str">
        <x:v>Not Started</x:v>
      </x:c>
      <x:c r="H17" s="58" t="str">
        <x:v>Daniel</x:v>
      </x:c>
      <x:c r="I17" s="58"/>
      <x:c r="J17" s="58" t="str">
        <x:v>Never enforce permissions only in frontend</x:v>
      </x:c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8" t="str">
        <x:v>B-05</x:v>
      </x:c>
      <x:c r="B18" s="58" t="str">
        <x:v>Backend</x:v>
      </x:c>
      <x:c r="C18" s="58" t="str">
        <x:v>API</x:v>
      </x:c>
      <x:c r="D18" s="58" t="str">
        <x:v>Build experience and skill APIs</x:v>
      </x:c>
      <x:c r="E18" s="58" t="str">
        <x:v>Create/read/update/delete works with validation and tests</x:v>
      </x:c>
      <x:c r="F18" s="58" t="str">
        <x:v>High</x:v>
      </x:c>
      <x:c r="G18" s="58" t="str">
        <x:v>Not Started</x:v>
      </x:c>
      <x:c r="H18" s="58" t="str">
        <x:v>Daniel</x:v>
      </x:c>
      <x:c r="I18" s="58"/>
      <x:c r="J18" s="58" t="str">
        <x:v>Use reusable API for future mobile app</x:v>
      </x:c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8" t="str">
        <x:v>B-06</x:v>
      </x:c>
      <x:c r="B19" s="58" t="str">
        <x:v>Backend</x:v>
      </x:c>
      <x:c r="C19" s="58" t="str">
        <x:v>Privacy</x:v>
      </x:c>
      <x:c r="D19" s="58" t="str">
        <x:v>Build sharing permissions and audit logging</x:v>
      </x:c>
      <x:c r="E19" s="58" t="str">
        <x:v>Student can grant/revoke access; accesses are logged</x:v>
      </x:c>
      <x:c r="F19" s="58" t="str">
        <x:v>High</x:v>
      </x:c>
      <x:c r="G19" s="58" t="str">
        <x:v>Not Started</x:v>
      </x:c>
      <x:c r="H19" s="58" t="str">
        <x:v>Daniel</x:v>
      </x:c>
      <x:c r="I19" s="58"/>
      <x:c r="J19" s="58" t="str">
        <x:v>Private by default</x:v>
      </x:c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8" t="str">
        <x:v>F-01</x:v>
      </x:c>
      <x:c r="B20" s="58" t="str">
        <x:v>Frontend</x:v>
      </x:c>
      <x:c r="C20" s="58" t="str">
        <x:v>Foundation</x:v>
      </x:c>
      <x:c r="D20" s="58" t="str">
        <x:v>Create responsive web application shell</x:v>
      </x:c>
      <x:c r="E20" s="58" t="str">
        <x:v>Accessible navigation works on phone and desktop</x:v>
      </x:c>
      <x:c r="F20" s="58" t="str">
        <x:v>High</x:v>
      </x:c>
      <x:c r="G20" s="58" t="str">
        <x:v>Not Started</x:v>
      </x:c>
      <x:c r="H20" s="58" t="str">
        <x:v>Daniel</x:v>
      </x:c>
      <x:c r="I20" s="58"/>
      <x:c r="J20" s="58" t="str">
        <x:v>Build website first</x:v>
      </x:c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8" t="str">
        <x:v>F-02</x:v>
      </x:c>
      <x:c r="B21" s="58" t="str">
        <x:v>Frontend</x:v>
      </x:c>
      <x:c r="C21" s="58" t="str">
        <x:v>Student experience</x:v>
      </x:c>
      <x:c r="D21" s="58" t="str">
        <x:v>Build experience tracker</x:v>
      </x:c>
      <x:c r="E21" s="58" t="str">
        <x:v>Student can add, edit, filter, and reflect on experiences</x:v>
      </x:c>
      <x:c r="F21" s="58" t="str">
        <x:v>High</x:v>
      </x:c>
      <x:c r="G21" s="58" t="str">
        <x:v>Not Started</x:v>
      </x:c>
      <x:c r="H21" s="58" t="str">
        <x:v>Daniel</x:v>
      </x:c>
      <x:c r="I21" s="58"/>
      <x:c r="J21" s="58" t="str">
        <x:v>Connect each experience to skills</x:v>
      </x:c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8" t="str">
        <x:v>F-03</x:v>
      </x:c>
      <x:c r="B22" s="58" t="str">
        <x:v>Frontend</x:v>
      </x:c>
      <x:c r="C22" s="58" t="str">
        <x:v>Skills</x:v>
      </x:c>
      <x:c r="D22" s="58" t="str">
        <x:v>Build skills evidence map</x:v>
      </x:c>
      <x:c r="E22" s="58" t="str">
        <x:v>Each skill displays linked evidence</x:v>
      </x:c>
      <x:c r="F22" s="58" t="str">
        <x:v>High</x:v>
      </x:c>
      <x:c r="G22" s="58" t="str">
        <x:v>Not Started</x:v>
      </x:c>
      <x:c r="H22" s="58" t="str">
        <x:v>Daniel</x:v>
      </x:c>
      <x:c r="I22" s="58"/>
      <x:c r="J22" s="58" t="str">
        <x:v>Avoid unsupported self-ratings without evidence</x:v>
      </x:c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8" t="str">
        <x:v>F-04</x:v>
      </x:c>
      <x:c r="B23" s="58" t="str">
        <x:v>Frontend</x:v>
      </x:c>
      <x:c r="C23" s="58" t="str">
        <x:v>Career tasks</x:v>
      </x:c>
      <x:c r="D23" s="58" t="str">
        <x:v>Build roadmap and next-action view</x:v>
      </x:c>
      <x:c r="E23" s="58" t="str">
        <x:v>Student sees tasks and one recommended next step</x:v>
      </x:c>
      <x:c r="F23" s="58" t="str">
        <x:v>High</x:v>
      </x:c>
      <x:c r="G23" s="58" t="str">
        <x:v>Not Started</x:v>
      </x:c>
      <x:c r="H23" s="58" t="str">
        <x:v>Daniel</x:v>
      </x:c>
      <x:c r="I23" s="58"/>
      <x:c r="J23" s="58" t="str">
        <x:v>Keep recommendations explainable</x:v>
      </x:c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8" t="str">
        <x:v>F-05</x:v>
      </x:c>
      <x:c r="B24" s="58" t="str">
        <x:v>Frontend</x:v>
      </x:c>
      <x:c r="C24" s="58" t="str">
        <x:v>Networking</x:v>
      </x:c>
      <x:c r="D24" s="58" t="str">
        <x:v>Build professional connection tracker</x:v>
      </x:c>
      <x:c r="E24" s="58" t="str">
        <x:v>Student can record contacts and follow-up dates</x:v>
      </x:c>
      <x:c r="F24" s="58" t="str">
        <x:v>Medium</x:v>
      </x:c>
      <x:c r="G24" s="58" t="str">
        <x:v>Not Started</x:v>
      </x:c>
      <x:c r="H24" s="58" t="str">
        <x:v>Daniel</x:v>
      </x:c>
      <x:c r="I24" s="58"/>
      <x:c r="J24" s="58" t="str">
        <x:v>Private notes should stay private</x:v>
      </x:c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8" t="str">
        <x:v>F-06</x:v>
      </x:c>
      <x:c r="B25" s="58" t="str">
        <x:v>Frontend</x:v>
      </x:c>
      <x:c r="C25" s="58" t="str">
        <x:v>Advisor experience</x:v>
      </x:c>
      <x:c r="D25" s="58" t="str">
        <x:v>Build authorized student summary</x:v>
      </x:c>
      <x:c r="E25" s="58" t="str">
        <x:v>Advisor can view only shared/assigned information</x:v>
      </x:c>
      <x:c r="F25" s="58" t="str">
        <x:v>High</x:v>
      </x:c>
      <x:c r="G25" s="58" t="str">
        <x:v>Not Started</x:v>
      </x:c>
      <x:c r="H25" s="58" t="str">
        <x:v>Daniel</x:v>
      </x:c>
      <x:c r="I25" s="58"/>
      <x:c r="J25" s="58" t="str">
        <x:v>Include clear access labels</x:v>
      </x:c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8" t="str">
        <x:v>F-07</x:v>
      </x:c>
      <x:c r="B26" s="58" t="str">
        <x:v>Frontend</x:v>
      </x:c>
      <x:c r="C26" s="58" t="str">
        <x:v>Privacy</x:v>
      </x:c>
      <x:c r="D26" s="58" t="str">
        <x:v>Build Privacy &amp; Sharing page</x:v>
      </x:c>
      <x:c r="E26" s="58" t="str">
        <x:v>Student can see, grant, and revoke access</x:v>
      </x:c>
      <x:c r="F26" s="58" t="str">
        <x:v>High</x:v>
      </x:c>
      <x:c r="G26" s="58" t="str">
        <x:v>Not Started</x:v>
      </x:c>
      <x:c r="H26" s="58" t="str">
        <x:v>Daniel</x:v>
      </x:c>
      <x:c r="I26" s="58"/>
      <x:c r="J26" s="58" t="str">
        <x:v>Show who can access what</x:v>
      </x:c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8" t="str">
        <x:v>Q-01</x:v>
      </x:c>
      <x:c r="B27" s="58" t="str">
        <x:v>Testing</x:v>
      </x:c>
      <x:c r="C27" s="58" t="str">
        <x:v>Usability</x:v>
      </x:c>
      <x:c r="D27" s="58" t="str">
        <x:v>Test MVP with students</x:v>
      </x:c>
      <x:c r="E27" s="58" t="str">
        <x:v>At least 5 users complete core tasks; issues prioritized</x:v>
      </x:c>
      <x:c r="F27" s="58" t="str">
        <x:v>High</x:v>
      </x:c>
      <x:c r="G27" s="58" t="str">
        <x:v>Not Started</x:v>
      </x:c>
      <x:c r="H27" s="58" t="str">
        <x:v>Daniel</x:v>
      </x:c>
      <x:c r="I27" s="58"/>
      <x:c r="J27" s="58" t="str">
        <x:v>Observe behavior, do not only ask opinions</x:v>
      </x:c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8" t="str">
        <x:v>Q-02</x:v>
      </x:c>
      <x:c r="B28" s="58" t="str">
        <x:v>Testing</x:v>
      </x:c>
      <x:c r="C28" s="58" t="str">
        <x:v>Staff validation</x:v>
      </x:c>
      <x:c r="D28" s="58" t="str">
        <x:v>Test advisor workflow with staff</x:v>
      </x:c>
      <x:c r="E28" s="58" t="str">
        <x:v>Staff feedback incorporated into next iteration</x:v>
      </x:c>
      <x:c r="F28" s="58" t="str">
        <x:v>High</x:v>
      </x:c>
      <x:c r="G28" s="58" t="str">
        <x:v>Not Started</x:v>
      </x:c>
      <x:c r="H28" s="58" t="str">
        <x:v>Daniel</x:v>
      </x:c>
      <x:c r="I28" s="58"/>
      <x:c r="J28" s="58" t="str">
        <x:v>Measure whether it improves advising preparation</x:v>
      </x:c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8" t="str">
        <x:v>Q-03</x:v>
      </x:c>
      <x:c r="B29" s="58" t="str">
        <x:v>Testing</x:v>
      </x:c>
      <x:c r="C29" s="58" t="str">
        <x:v>Security</x:v>
      </x:c>
      <x:c r="D29" s="58" t="str">
        <x:v>Test access boundaries</x:v>
      </x:c>
      <x:c r="E29" s="58" t="str">
        <x:v>Student A cannot access Student B; advisor restrictions verified</x:v>
      </x:c>
      <x:c r="F29" s="58" t="str">
        <x:v>High</x:v>
      </x:c>
      <x:c r="G29" s="58" t="str">
        <x:v>Not Started</x:v>
      </x:c>
      <x:c r="H29" s="58" t="str">
        <x:v>Daniel</x:v>
      </x:c>
      <x:c r="I29" s="58"/>
      <x:c r="J29" s="58" t="str">
        <x:v>Add automated authorization tests</x:v>
      </x:c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8" t="str">
        <x:v>Q-04</x:v>
      </x:c>
      <x:c r="B30" s="58" t="str">
        <x:v>Testing</x:v>
      </x:c>
      <x:c r="C30" s="58" t="str">
        <x:v>Accessibility</x:v>
      </x:c>
      <x:c r="D30" s="58" t="str">
        <x:v>Run accessibility review</x:v>
      </x:c>
      <x:c r="E30" s="58" t="str">
        <x:v>No critical keyboard, contrast, labeling, or focus issues</x:v>
      </x:c>
      <x:c r="F30" s="58" t="str">
        <x:v>High</x:v>
      </x:c>
      <x:c r="G30" s="58" t="str">
        <x:v>Not Started</x:v>
      </x:c>
      <x:c r="H30" s="58" t="str">
        <x:v>Daniel</x:v>
      </x:c>
      <x:c r="I30" s="58"/>
      <x:c r="J30" s="58" t="str">
        <x:v>Document fixes</x:v>
      </x:c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8" t="str">
        <x:v>C-01</x:v>
      </x:c>
      <x:c r="B31" s="58" t="str">
        <x:v>Competition</x:v>
      </x:c>
      <x:c r="C31" s="58" t="str">
        <x:v>Demo</x:v>
      </x:c>
      <x:c r="D31" s="58" t="str">
        <x:v>Prepare end-to-end demo</x:v>
      </x:c>
      <x:c r="E31" s="58" t="str">
        <x:v>Demo follows a student from experience entry to advisor-ready summary</x:v>
      </x:c>
      <x:c r="F31" s="58" t="str">
        <x:v>Medium</x:v>
      </x:c>
      <x:c r="G31" s="58" t="str">
        <x:v>Not Started</x:v>
      </x:c>
      <x:c r="H31" s="58" t="str">
        <x:v>Daniel</x:v>
      </x:c>
      <x:c r="I31" s="58"/>
      <x:c r="J31" s="58" t="str">
        <x:v>Show usefulness, not just visual polish</x:v>
      </x:c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8" t="str">
        <x:v>C-02</x:v>
      </x:c>
      <x:c r="B32" s="58" t="str">
        <x:v>Competition</x:v>
      </x:c>
      <x:c r="C32" s="58" t="str">
        <x:v>Submission</x:v>
      </x:c>
      <x:c r="D32" s="58" t="str">
        <x:v>Map product to challenge criteria</x:v>
      </x:c>
      <x:c r="E32" s="58" t="str">
        <x:v>Submission explains relevance, UX, technical work, innovation, accessibility</x:v>
      </x:c>
      <x:c r="F32" s="58" t="str">
        <x:v>Medium</x:v>
      </x:c>
      <x:c r="G32" s="58" t="str">
        <x:v>Not Started</x:v>
      </x:c>
      <x:c r="H32" s="58" t="str">
        <x:v>Daniel</x:v>
      </x:c>
      <x:c r="I32" s="58"/>
      <x:c r="J32" s="58" t="str">
        <x:v>Do not distort product priorities for points</x:v>
      </x:c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8" t="str">
        <x:v>L-01</x:v>
      </x:c>
      <x:c r="B33" s="58" t="str">
        <x:v>Long-term</x:v>
      </x:c>
      <x:c r="C33" s="58" t="str">
        <x:v>Faculty resources</x:v>
      </x:c>
      <x:c r="D33" s="58" t="str">
        <x:v>Add faculty-contributed resources</x:v>
      </x:c>
      <x:c r="E33" s="58" t="str">
        <x:v>Faculty can submit; Career staff can review and publish</x:v>
      </x:c>
      <x:c r="F33" s="58" t="str">
        <x:v>Medium</x:v>
      </x:c>
      <x:c r="G33" s="58" t="str">
        <x:v>Backlog</x:v>
      </x:c>
      <x:c r="H33" s="58" t="str">
        <x:v>Daniel</x:v>
      </x:c>
      <x:c r="I33" s="58"/>
      <x:c r="J33" s="58" t="str">
        <x:v>Keep contribution under two minutes</x:v>
      </x:c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8" t="str">
        <x:v>L-02</x:v>
      </x:c>
      <x:c r="B34" s="58" t="str">
        <x:v>Long-term</x:v>
      </x:c>
      <x:c r="C34" s="58" t="str">
        <x:v>Recommendations</x:v>
      </x:c>
      <x:c r="D34" s="58" t="str">
        <x:v>Design recommendation-request workflow</x:v>
      </x:c>
      <x:c r="E34" s="58" t="str">
        <x:v>Purpose-specific sharing, status tracking, reminders, document handling</x:v>
      </x:c>
      <x:c r="F34" s="58" t="str">
        <x:v>Medium</x:v>
      </x:c>
      <x:c r="G34" s="58" t="str">
        <x:v>Backlog</x:v>
      </x:c>
      <x:c r="H34" s="58" t="str">
        <x:v>Daniel</x:v>
      </x:c>
      <x:c r="I34" s="58"/>
      <x:c r="J34" s="58" t="str">
        <x:v>Build after core privacy model is stable</x:v>
      </x:c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8" t="str">
        <x:v>L-03</x:v>
      </x:c>
      <x:c r="B35" s="58" t="str">
        <x:v>Long-term</x:v>
      </x:c>
      <x:c r="C35" s="58" t="str">
        <x:v>Mobile</x:v>
      </x:c>
      <x:c r="D35" s="58" t="str">
        <x:v>Evaluate mobile app need</x:v>
      </x:c>
      <x:c r="E35" s="58" t="str">
        <x:v>Decision based on actual web usage and student feedback</x:v>
      </x:c>
      <x:c r="F35" s="58" t="str">
        <x:v>Low</x:v>
      </x:c>
      <x:c r="G35" s="58" t="str">
        <x:v>Backlog</x:v>
      </x:c>
      <x:c r="H35" s="58" t="str">
        <x:v>Daniel</x:v>
      </x:c>
      <x:c r="I35" s="58"/>
      <x:c r="J35" s="58" t="str">
        <x:v>Reuse same backend API if built</x:v>
      </x:c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mergeCells>
    <x:mergeCell ref="A1:J1"/>
  </x:mergeCells>
  <x:conditionalFormatting sqref="G3:G35">
    <x:cfRule type="expression" dxfId="0" priority="1">
      <x:formula>G3="Complete"</x:formula>
    </x:cfRule>
    <x:cfRule type="expression" dxfId="1" priority="2">
      <x:formula>G3="In Progress"</x:formula>
    </x:cfRule>
    <x:cfRule type="expression" dxfId="2" priority="3">
      <x:formula>G3="Blocked"</x:formula>
    </x:cfRule>
  </x:conditionalFormatting>
  <x:dataValidations count="2">
    <x:dataValidation type="list" sqref="F3:F35">
      <x:formula1>"High,Medium,Low"</x:formula1>
    </x:dataValidation>
    <x:dataValidation type="list" sqref="G3:G35">
      <x:formula1>"Not Started,In Progress,Blocked,Complete,Backlog"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7769bf7e524a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30" hidden="0" customWidth="1"/>
    <x:col min="6" max="6" width="30" hidden="0" customWidth="1"/>
    <x:col min="7" max="7" width="12" hidden="0" customWidth="1"/>
    <x:col min="8" max="8" width="28" hidden="0" customWidth="1"/>
  </x:cols>
  <x:sheetData>
    <x:row r="1">
      <x:c r="A1" s="52" t="str">
        <x:v>Roles, Permissions, and Data Access</x:v>
      </x:c>
      <x:c r="B1" s="52"/>
      <x:c r="C1" s="52"/>
      <x:c r="D1" s="52"/>
      <x:c r="E1" s="52"/>
      <x:c r="F1" s="52"/>
      <x:c r="G1" s="52"/>
      <x:c r="H1" s="52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5" t="str">
        <x:v>Role</x:v>
      </x:c>
      <x:c r="B3" s="55" t="str">
        <x:v>Purpose</x:v>
      </x:c>
      <x:c r="C3" s="55" t="str">
        <x:v>Can view</x:v>
      </x:c>
      <x:c r="D3" s="55" t="str">
        <x:v>Can create/update</x:v>
      </x:c>
      <x:c r="E3" s="55" t="str">
        <x:v>Cannot access by default</x:v>
      </x:c>
      <x:c r="F3" s="55" t="str">
        <x:v>How access is granted</x:v>
      </x:c>
      <x:c r="G3" s="55" t="str">
        <x:v>MVP?</x:v>
      </x:c>
      <x:c r="H3" s="55" t="str">
        <x:v>Notes</x:v>
      </x:c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58" t="str">
        <x:v>Student</x:v>
      </x:c>
      <x:c r="B4" s="58" t="str">
        <x:v>Own and direct career journey</x:v>
      </x:c>
      <x:c r="C4" s="58" t="str">
        <x:v>Own profile, experiences, skills, contacts, tasks, shared resources</x:v>
      </x:c>
      <x:c r="D4" s="58" t="str">
        <x:v>Own records and sharing choices</x:v>
      </x:c>
      <x:c r="E4" s="58" t="str">
        <x:v>Other students' records; private advisor notes</x:v>
      </x:c>
      <x:c r="F4" s="58" t="str">
        <x:v>Ownership after authenticated login</x:v>
      </x:c>
      <x:c r="G4" s="58" t="str">
        <x:v>Yes</x:v>
      </x:c>
      <x:c r="H4" s="58" t="str">
        <x:v>Can export and delete own data</x:v>
      </x:c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58" t="str">
        <x:v>Career Advisor</x:v>
      </x:c>
      <x:c r="B5" s="58" t="str">
        <x:v>Guide students and improve advising</x:v>
      </x:c>
      <x:c r="C5" s="58" t="str">
        <x:v>Assigned or consenting students' shared information</x:v>
      </x:c>
      <x:c r="D5" s="58" t="str">
        <x:v>Advisor recommendations and assigned actions</x:v>
      </x:c>
      <x:c r="E5" s="58" t="str">
        <x:v>Unshared contact notes, unrelated files, all-student browsing</x:v>
      </x:c>
      <x:c r="F5" s="58" t="str">
        <x:v>Assignment plus student consent or approved institutional policy</x:v>
      </x:c>
      <x:c r="G5" s="58" t="str">
        <x:v>Yes</x:v>
      </x:c>
      <x:c r="H5" s="58" t="str">
        <x:v>Best student-facing name for advising staff</x:v>
      </x:c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58" t="str">
        <x:v>Career Content Manager</x:v>
      </x:c>
      <x:c r="B6" s="58" t="str">
        <x:v>Organize and verify opportunities and resources</x:v>
      </x:c>
      <x:c r="C6" s="58" t="str">
        <x:v>Faculty submissions and public career content</x:v>
      </x:c>
      <x:c r="D6" s="58" t="str">
        <x:v>Publish, tag, update, archive content</x:v>
      </x:c>
      <x:c r="E6" s="58" t="str">
        <x:v>Private student records unless separately authorized</x:v>
      </x:c>
      <x:c r="F6" s="58" t="str">
        <x:v>Career Center staff role</x:v>
      </x:c>
      <x:c r="G6" s="58" t="str">
        <x:v>Yes/Maybe</x:v>
      </x:c>
      <x:c r="H6" s="58" t="str">
        <x:v>Could be combined with admin in prototype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58" t="str">
        <x:v>Faculty Contributor</x:v>
      </x:c>
      <x:c r="B7" s="58" t="str">
        <x:v>Share disciplinary expertise and respond to requests</x:v>
      </x:c>
      <x:c r="C7" s="58" t="str">
        <x:v>Own resource posts; recommendation request materials explicitly shared</x:v>
      </x:c>
      <x:c r="D7" s="58" t="str">
        <x:v>Own posts, research opportunities, request responses</x:v>
      </x:c>
      <x:c r="E7" s="58" t="str">
        <x:v>Full student profile, networking database, other requests</x:v>
      </x:c>
      <x:c r="F7" s="58" t="str">
        <x:v>Faculty account plus purpose-specific student sharing</x:v>
      </x:c>
      <x:c r="G7" s="58" t="str">
        <x:v>Phase 2</x:v>
      </x:c>
      <x:c r="H7" s="58" t="str">
        <x:v>Two separate functions: contributor and recommender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58" t="str">
        <x:v>System Administrator</x:v>
      </x:c>
      <x:c r="B8" s="58" t="str">
        <x:v>Maintain technical system and role configuration</x:v>
      </x:c>
      <x:c r="C8" s="58" t="str">
        <x:v>Account metadata, system settings, audit logs as authorized</x:v>
      </x:c>
      <x:c r="D8" s="58" t="str">
        <x:v>Roles, configuration, categories</x:v>
      </x:c>
      <x:c r="E8" s="58" t="str">
        <x:v>Routine browsing of private student content</x:v>
      </x:c>
      <x:c r="F8" s="58" t="str">
        <x:v>Restricted institutional authorization</x:v>
      </x:c>
      <x:c r="G8" s="58" t="str">
        <x:v>Yes</x:v>
      </x:c>
      <x:c r="H8" s="58" t="str">
        <x:v>Technical power should not imply unrestricted content access</x:v>
      </x:c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8" t="str">
        <x:v>Developer / Support</x:v>
      </x:c>
      <x:c r="B9" s="58" t="str">
        <x:v>Build and troubleshoot system</x:v>
      </x:c>
      <x:c r="C9" s="58" t="str">
        <x:v>Mock or anonymized data by default</x:v>
      </x:c>
      <x:c r="D9" s="58" t="str">
        <x:v>Code and non-production configuration</x:v>
      </x:c>
      <x:c r="E9" s="58" t="str">
        <x:v>Real student data without temporary audited approval</x:v>
      </x:c>
      <x:c r="F9" s="58" t="str">
        <x:v>Temporary, documented support access only</x:v>
      </x:c>
      <x:c r="G9" s="58" t="str">
        <x:v>Yes</x:v>
      </x:c>
      <x:c r="H9" s="58" t="str">
        <x:v>Separate development and production environments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8" t="str">
        <x:v>Alumni / Employer Contributor</x:v>
      </x:c>
      <x:c r="B10" s="58" t="str">
        <x:v>Future mentoring or opportunity contribution</x:v>
      </x:c>
      <x:c r="C10" s="58" t="str">
        <x:v>Own approved contributions</x:v>
      </x:c>
      <x:c r="D10" s="58" t="str">
        <x:v>Own posts or mentoring availability</x:v>
      </x:c>
      <x:c r="E10" s="58" t="str">
        <x:v>Student records by default</x:v>
      </x:c>
      <x:c r="F10" s="58" t="str">
        <x:v>Opt-in connection and moderation</x:v>
      </x:c>
      <x:c r="G10" s="58" t="str">
        <x:v>Later</x:v>
      </x:c>
      <x:c r="H10" s="58" t="str">
        <x:v>Not part of initial scope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3"/>
      <x:c r="B11" s="53"/>
      <x:c r="C11" s="53"/>
      <x:c r="D11" s="53"/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6" t="str">
        <x:v>Data access matrix</x:v>
      </x:c>
      <x:c r="B12" s="56"/>
      <x:c r="C12" s="56"/>
      <x:c r="D12" s="56"/>
      <x:c r="E12" s="56"/>
      <x:c r="F12" s="56"/>
      <x:c r="G12" s="56"/>
      <x:c r="H12" s="56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55" t="str">
        <x:v>Data category</x:v>
      </x:c>
      <x:c r="B13" s="55" t="str">
        <x:v>Student</x:v>
      </x:c>
      <x:c r="C13" s="55" t="str">
        <x:v>Career Advisor</x:v>
      </x:c>
      <x:c r="D13" s="55" t="str">
        <x:v>Faculty</x:v>
      </x:c>
      <x:c r="E13" s="55" t="str">
        <x:v>Content Manager</x:v>
      </x:c>
      <x:c r="F13" s="55" t="str">
        <x:v>System Admin</x:v>
      </x:c>
      <x:c r="G13" s="55" t="str">
        <x:v>Developer</x:v>
      </x:c>
      <x:c r="H13" s="55" t="str">
        <x:v>Default rule</x:v>
      </x:c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58" t="str">
        <x:v>Student profile</x:v>
      </x:c>
      <x:c r="B14" s="58" t="str">
        <x:v>Own</x:v>
      </x:c>
      <x:c r="C14" s="58" t="str">
        <x:v>With consent/assignment</x:v>
      </x:c>
      <x:c r="D14" s="58" t="str">
        <x:v>Selected fields only</x:v>
      </x:c>
      <x:c r="E14" s="58" t="str">
        <x:v>No</x:v>
      </x:c>
      <x:c r="F14" s="58" t="str">
        <x:v>Limited account fields</x:v>
      </x:c>
      <x:c r="G14" s="58" t="str">
        <x:v>No</x:v>
      </x:c>
      <x:c r="H14" s="58" t="str">
        <x:v>Private</x:v>
      </x:c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58" t="str">
        <x:v>Experiences</x:v>
      </x:c>
      <x:c r="B15" s="58" t="str">
        <x:v>Own CRUD</x:v>
      </x:c>
      <x:c r="C15" s="58" t="str">
        <x:v>Shared/assigned view</x:v>
      </x:c>
      <x:c r="D15" s="58" t="str">
        <x:v>Only selected records</x:v>
      </x:c>
      <x:c r="E15" s="58" t="str">
        <x:v>No</x:v>
      </x:c>
      <x:c r="F15" s="58" t="str">
        <x:v>Aggregated by default</x:v>
      </x:c>
      <x:c r="G15" s="58" t="str">
        <x:v>Mock/anonymized</x:v>
      </x:c>
      <x:c r="H15" s="58" t="str">
        <x:v>Private</x:v>
      </x:c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8" t="str">
        <x:v>Skills and evidence</x:v>
      </x:c>
      <x:c r="B16" s="58" t="str">
        <x:v>Own CRUD</x:v>
      </x:c>
      <x:c r="C16" s="58" t="str">
        <x:v>Shared/assigned view</x:v>
      </x:c>
      <x:c r="D16" s="58" t="str">
        <x:v>Selected view</x:v>
      </x:c>
      <x:c r="E16" s="58" t="str">
        <x:v>No</x:v>
      </x:c>
      <x:c r="F16" s="58" t="str">
        <x:v>Aggregated by default</x:v>
      </x:c>
      <x:c r="G16" s="58" t="str">
        <x:v>Mock/anonymized</x:v>
      </x:c>
      <x:c r="H16" s="58" t="str">
        <x:v>Private</x:v>
      </x:c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8" t="str">
        <x:v>Networking contacts</x:v>
      </x:c>
      <x:c r="B17" s="58" t="str">
        <x:v>Own CRUD</x:v>
      </x:c>
      <x:c r="C17" s="58" t="str">
        <x:v>Only if explicitly shared</x:v>
      </x:c>
      <x:c r="D17" s="58" t="str">
        <x:v>No</x:v>
      </x:c>
      <x:c r="E17" s="58" t="str">
        <x:v>No</x:v>
      </x:c>
      <x:c r="F17" s="58" t="str">
        <x:v>No routine access</x:v>
      </x:c>
      <x:c r="G17" s="58" t="str">
        <x:v>No</x:v>
      </x:c>
      <x:c r="H17" s="58" t="str">
        <x:v>Highly private</x:v>
      </x:c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8" t="str">
        <x:v>Private contact notes</x:v>
      </x:c>
      <x:c r="B18" s="58" t="str">
        <x:v>Own only</x:v>
      </x:c>
      <x:c r="C18" s="58" t="str">
        <x:v>Explicit item-level permission only</x:v>
      </x:c>
      <x:c r="D18" s="58" t="str">
        <x:v>No</x:v>
      </x:c>
      <x:c r="E18" s="58" t="str">
        <x:v>No</x:v>
      </x:c>
      <x:c r="F18" s="58" t="str">
        <x:v>No routine access</x:v>
      </x:c>
      <x:c r="G18" s="58" t="str">
        <x:v>No</x:v>
      </x:c>
      <x:c r="H18" s="58" t="str">
        <x:v>Highly private</x:v>
      </x:c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8" t="str">
        <x:v>Career tasks/goals</x:v>
      </x:c>
      <x:c r="B19" s="58" t="str">
        <x:v>Own CRUD</x:v>
      </x:c>
      <x:c r="C19" s="58" t="str">
        <x:v>Shared/assigned view and recommendations</x:v>
      </x:c>
      <x:c r="D19" s="58" t="str">
        <x:v>Selected view</x:v>
      </x:c>
      <x:c r="E19" s="58" t="str">
        <x:v>No</x:v>
      </x:c>
      <x:c r="F19" s="58" t="str">
        <x:v>Aggregated by default</x:v>
      </x:c>
      <x:c r="G19" s="58" t="str">
        <x:v>Mock/anonymized</x:v>
      </x:c>
      <x:c r="H19" s="58" t="str">
        <x:v>Private</x:v>
      </x:c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8" t="str">
        <x:v>Uploaded documents</x:v>
      </x:c>
      <x:c r="B20" s="58" t="str">
        <x:v>Own</x:v>
      </x:c>
      <x:c r="C20" s="58" t="str">
        <x:v>Shared documents only</x:v>
      </x:c>
      <x:c r="D20" s="58" t="str">
        <x:v>Request-specific files only</x:v>
      </x:c>
      <x:c r="E20" s="58" t="str">
        <x:v>No</x:v>
      </x:c>
      <x:c r="F20" s="58" t="str">
        <x:v>No routine access</x:v>
      </x:c>
      <x:c r="G20" s="58" t="str">
        <x:v>No</x:v>
      </x:c>
      <x:c r="H20" s="58" t="str">
        <x:v>Private file storage</x:v>
      </x:c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8" t="str">
        <x:v>Faculty resources</x:v>
      </x:c>
      <x:c r="B21" s="58" t="str">
        <x:v>View</x:v>
      </x:c>
      <x:c r="C21" s="58" t="str">
        <x:v>View</x:v>
      </x:c>
      <x:c r="D21" s="58" t="str">
        <x:v>Own submissions</x:v>
      </x:c>
      <x:c r="E21" s="58" t="str">
        <x:v>Review/publish</x:v>
      </x:c>
      <x:c r="F21" s="58" t="str">
        <x:v>Manage categories</x:v>
      </x:c>
      <x:c r="G21" s="58" t="str">
        <x:v>Development copy</x:v>
      </x:c>
      <x:c r="H21" s="58" t="str">
        <x:v>Institutional/public</x:v>
      </x:c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8" t="str">
        <x:v>Recommendation request</x:v>
      </x:c>
      <x:c r="B22" s="58" t="str">
        <x:v>Own status/materials</x:v>
      </x:c>
      <x:c r="C22" s="58" t="str">
        <x:v>No unless student shares</x:v>
      </x:c>
      <x:c r="D22" s="58" t="str">
        <x:v>Specific request only</x:v>
      </x:c>
      <x:c r="E22" s="58" t="str">
        <x:v>No</x:v>
      </x:c>
      <x:c r="F22" s="58" t="str">
        <x:v>Technical metadata only</x:v>
      </x:c>
      <x:c r="G22" s="58" t="str">
        <x:v>No</x:v>
      </x:c>
      <x:c r="H22" s="58" t="str">
        <x:v>Purpose-limited</x:v>
      </x:c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8" t="str">
        <x:v>Audit logs</x:v>
      </x:c>
      <x:c r="B23" s="58" t="str">
        <x:v>Own access history</x:v>
      </x:c>
      <x:c r="C23" s="58" t="str">
        <x:v>Limited relevant history</x:v>
      </x:c>
      <x:c r="D23" s="58" t="str">
        <x:v>No</x:v>
      </x:c>
      <x:c r="E23" s="58" t="str">
        <x:v>No</x:v>
      </x:c>
      <x:c r="F23" s="58" t="str">
        <x:v>Authorized security access</x:v>
      </x:c>
      <x:c r="G23" s="58" t="str">
        <x:v>No by default</x:v>
      </x:c>
      <x:c r="H23" s="58" t="str">
        <x:v>Restricted</x:v>
      </x:c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8" t="str">
        <x:v>Aggregated reports</x:v>
      </x:c>
      <x:c r="B24" s="58" t="str">
        <x:v>Opt-in/anonymous contribution</x:v>
      </x:c>
      <x:c r="C24" s="58" t="str">
        <x:v>Authorized use</x:v>
      </x:c>
      <x:c r="D24" s="58" t="str">
        <x:v>No</x:v>
      </x:c>
      <x:c r="E24" s="58" t="str">
        <x:v>Authorized use</x:v>
      </x:c>
      <x:c r="F24" s="58" t="str">
        <x:v>Authorized use</x:v>
      </x:c>
      <x:c r="G24" s="58" t="str">
        <x:v>Synthetic only</x:v>
      </x:c>
      <x:c r="H24" s="58" t="str">
        <x:v>Minimum necessary</x:v>
      </x:c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mergeCells>
    <x:mergeCell ref="A1:H1"/>
    <x:mergeCell ref="A12:H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20" hidden="0" customWidth="1"/>
    <x:col min="4" max="4" width="10" hidden="0" customWidth="1"/>
    <x:col min="5" max="5" width="12" hidden="0" customWidth="1"/>
    <x:col min="6" max="6" width="18" hidden="0" customWidth="1"/>
    <x:col min="7" max="7" width="24" hidden="0" customWidth="1"/>
    <x:col min="8" max="8" width="30" hidden="0" customWidth="1"/>
  </x:cols>
  <x:sheetData>
    <x:row r="1">
      <x:c r="A1" s="52" t="str">
        <x:v>Product Scope: MVP, Later, and Non-Goals</x:v>
      </x:c>
      <x:c r="B1" s="52"/>
      <x:c r="C1" s="52"/>
      <x:c r="D1" s="52"/>
      <x:c r="E1" s="52"/>
      <x:c r="F1" s="52"/>
      <x:c r="G1" s="52"/>
      <x:c r="H1" s="52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5" t="str">
        <x:v>Feature</x:v>
      </x:c>
      <x:c r="B3" s="55" t="str">
        <x:v>Problem solved</x:v>
      </x:c>
      <x:c r="C3" s="55" t="str">
        <x:v>Primary user</x:v>
      </x:c>
      <x:c r="D3" s="55" t="str">
        <x:v>MVP</x:v>
      </x:c>
      <x:c r="E3" s="55" t="str">
        <x:v>Phase</x:v>
      </x:c>
      <x:c r="F3" s="55" t="str">
        <x:v>Data sensitivity</x:v>
      </x:c>
      <x:c r="G3" s="55" t="str">
        <x:v>Success signal</x:v>
      </x:c>
      <x:c r="H3" s="55" t="str">
        <x:v>Notes</x:v>
      </x:c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58" t="str">
        <x:v>Experience tracker</x:v>
      </x:c>
      <x:c r="B4" s="58" t="str">
        <x:v>Students forget or cannot explain what they have done</x:v>
      </x:c>
      <x:c r="C4" s="58" t="str">
        <x:v>Student</x:v>
      </x:c>
      <x:c r="D4" s="58" t="str">
        <x:v>Yes</x:v>
      </x:c>
      <x:c r="E4" s="58" t="str">
        <x:v>1</x:v>
      </x:c>
      <x:c r="F4" s="58" t="str">
        <x:v>Private</x:v>
      </x:c>
      <x:c r="G4" s="58" t="str">
        <x:v>Students add and reuse experiences</x:v>
      </x:c>
      <x:c r="H4" s="58" t="str">
        <x:v>Core feature</x:v>
      </x:c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58" t="str">
        <x:v>Skills evidence map</x:v>
      </x:c>
      <x:c r="B5" s="58" t="str">
        <x:v>Students list skills without proof</x:v>
      </x:c>
      <x:c r="C5" s="58" t="str">
        <x:v>Student, Advisor</x:v>
      </x:c>
      <x:c r="D5" s="58" t="str">
        <x:v>Yes</x:v>
      </x:c>
      <x:c r="E5" s="58" t="str">
        <x:v>1</x:v>
      </x:c>
      <x:c r="F5" s="58" t="str">
        <x:v>Private</x:v>
      </x:c>
      <x:c r="G5" s="58" t="str">
        <x:v>Skills link to real evidence</x:v>
      </x:c>
      <x:c r="H5" s="58" t="str">
        <x:v>Core differentiator</x:v>
      </x:c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58" t="str">
        <x:v>Career tasks and next action</x:v>
      </x:c>
      <x:c r="B6" s="58" t="str">
        <x:v>Students feel overwhelmed and do not know what to do next</x:v>
      </x:c>
      <x:c r="C6" s="58" t="str">
        <x:v>Student, Advisor</x:v>
      </x:c>
      <x:c r="D6" s="58" t="str">
        <x:v>Yes</x:v>
      </x:c>
      <x:c r="E6" s="58" t="str">
        <x:v>1</x:v>
      </x:c>
      <x:c r="F6" s="58" t="str">
        <x:v>Private</x:v>
      </x:c>
      <x:c r="G6" s="58" t="str">
        <x:v>Students complete recommended actions</x:v>
      </x:c>
      <x:c r="H6" s="58" t="str">
        <x:v>Keep recommendations transparent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58" t="str">
        <x:v>Professional connection tracker</x:v>
      </x:c>
      <x:c r="B7" s="58" t="str">
        <x:v>Students lose networking context and follow-ups</x:v>
      </x:c>
      <x:c r="C7" s="58" t="str">
        <x:v>Student</x:v>
      </x:c>
      <x:c r="D7" s="58" t="str">
        <x:v>Yes</x:v>
      </x:c>
      <x:c r="E7" s="58" t="str">
        <x:v>1</x:v>
      </x:c>
      <x:c r="F7" s="58" t="str">
        <x:v>Highly private</x:v>
      </x:c>
      <x:c r="G7" s="58" t="str">
        <x:v>Students record and follow up with contacts</x:v>
      </x:c>
      <x:c r="H7" s="58" t="str">
        <x:v>Private by default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58" t="str">
        <x:v>Privacy &amp; Sharing center</x:v>
      </x:c>
      <x:c r="B8" s="58" t="str">
        <x:v>Students need control over their data</x:v>
      </x:c>
      <x:c r="C8" s="58" t="str">
        <x:v>Student</x:v>
      </x:c>
      <x:c r="D8" s="58" t="str">
        <x:v>Yes</x:v>
      </x:c>
      <x:c r="E8" s="58" t="str">
        <x:v>1</x:v>
      </x:c>
      <x:c r="F8" s="58" t="str">
        <x:v>Highly sensitive</x:v>
      </x:c>
      <x:c r="G8" s="58" t="str">
        <x:v>Students understand and manage access</x:v>
      </x:c>
      <x:c r="H8" s="58" t="str">
        <x:v>Must be backend-enforced</x:v>
      </x:c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8" t="str">
        <x:v>Career Advisor dashboard</x:v>
      </x:c>
      <x:c r="B9" s="58" t="str">
        <x:v>Advisors need concise preparation context</x:v>
      </x:c>
      <x:c r="C9" s="58" t="str">
        <x:v>Career Advisor</x:v>
      </x:c>
      <x:c r="D9" s="58" t="str">
        <x:v>Yes</x:v>
      </x:c>
      <x:c r="E9" s="58" t="str">
        <x:v>1</x:v>
      </x:c>
      <x:c r="F9" s="58" t="str">
        <x:v>Private</x:v>
      </x:c>
      <x:c r="G9" s="58" t="str">
        <x:v>Advising conversations become more focused</x:v>
      </x:c>
      <x:c r="H9" s="58" t="str">
        <x:v>Only authorized data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8" t="str">
        <x:v>Faculty resources</x:v>
      </x:c>
      <x:c r="B10" s="58" t="str">
        <x:v>Opportunities and disciplinary knowledge are scattered</x:v>
      </x:c>
      <x:c r="C10" s="58" t="str">
        <x:v>Faculty, Student, Career staff</x:v>
      </x:c>
      <x:c r="D10" s="58" t="str">
        <x:v>Limited</x:v>
      </x:c>
      <x:c r="E10" s="58" t="str">
        <x:v>2</x:v>
      </x:c>
      <x:c r="F10" s="58" t="str">
        <x:v>Institutional/public</x:v>
      </x:c>
      <x:c r="G10" s="58" t="str">
        <x:v>Useful posts stay current and discoverable</x:v>
      </x:c>
      <x:c r="H10" s="58" t="str">
        <x:v>Career staff review content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8" t="str">
        <x:v>Recommendation requests</x:v>
      </x:c>
      <x:c r="B11" s="58" t="str">
        <x:v>Students provide incomplete context and miss deadlines</x:v>
      </x:c>
      <x:c r="C11" s="58" t="str">
        <x:v>Student, Faculty</x:v>
      </x:c>
      <x:c r="D11" s="58" t="str">
        <x:v>No</x:v>
      </x:c>
      <x:c r="E11" s="58" t="str">
        <x:v>2</x:v>
      </x:c>
      <x:c r="F11" s="58" t="str">
        <x:v>Sensitive documents</x:v>
      </x:c>
      <x:c r="G11" s="58" t="str">
        <x:v>Clearer requests and fewer missed deadlines</x:v>
      </x:c>
      <x:c r="H11" s="58" t="str">
        <x:v>Purpose-specific access</x:v>
      </x:c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8" t="str">
        <x:v>Mobile app</x:v>
      </x:c>
      <x:c r="B12" s="58" t="str">
        <x:v>Students may need quick entry and reminders</x:v>
      </x:c>
      <x:c r="C12" s="58" t="str">
        <x:v>Student</x:v>
      </x:c>
      <x:c r="D12" s="58" t="str">
        <x:v>No</x:v>
      </x:c>
      <x:c r="E12" s="58" t="str">
        <x:v>4</x:v>
      </x:c>
      <x:c r="F12" s="58" t="str">
        <x:v>Same as web</x:v>
      </x:c>
      <x:c r="G12" s="58" t="str">
        <x:v>Validated demand after web launch</x:v>
      </x:c>
      <x:c r="H12" s="58" t="str">
        <x:v>Responsive site first</x:v>
      </x:c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58" t="str">
        <x:v>Handshake integration</x:v>
      </x:c>
      <x:c r="B13" s="58" t="str">
        <x:v>Avoid duplicate opportunity systems</x:v>
      </x:c>
      <x:c r="C13" s="58" t="str">
        <x:v>Student, Career staff</x:v>
      </x:c>
      <x:c r="D13" s="58" t="str">
        <x:v>No</x:v>
      </x:c>
      <x:c r="E13" s="58" t="str">
        <x:v>Later</x:v>
      </x:c>
      <x:c r="F13" s="58" t="str">
        <x:v>Institutional</x:v>
      </x:c>
      <x:c r="G13" s="58" t="str">
        <x:v>Approved integration adds value</x:v>
      </x:c>
      <x:c r="H13" s="58" t="str">
        <x:v>Do not scrape or duplicate blindly</x:v>
      </x:c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58" t="str">
        <x:v>AI-generated decisions</x:v>
      </x:c>
      <x:c r="B14" s="58" t="str">
        <x:v>Could create opaque or biased guidance</x:v>
      </x:c>
      <x:c r="C14" s="58" t="str">
        <x:v>All</x:v>
      </x:c>
      <x:c r="D14" s="58" t="str">
        <x:v>No</x:v>
      </x:c>
      <x:c r="E14" s="58" t="str">
        <x:v>Non-goal</x:v>
      </x:c>
      <x:c r="F14" s="58" t="str">
        <x:v>High risk</x:v>
      </x:c>
      <x:c r="G14" s="58" t="str">
        <x:v>N/A</x:v>
      </x:c>
      <x:c r="H14" s="58" t="str">
        <x:v>AI may assist writing later, never make hidden decisions</x:v>
      </x:c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mergeCells>
    <x:mergeCell ref="A1:H1"/>
  </x:mergeCells>
  <x:dataValidations count="1">
    <x:dataValidation type="list" sqref="D4:D14">
      <x:formula1>"Yes,Limited,No"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2" hidden="0" customWidth="1"/>
    <x:col min="4" max="4" width="20" hidden="0" customWidth="1"/>
    <x:col min="5" max="5" width="13" hidden="0" customWidth="1"/>
    <x:col min="6" max="6" width="30" hidden="0" customWidth="1"/>
    <x:col min="7" max="7" width="34" hidden="0" customWidth="1"/>
    <x:col min="8" max="8" width="24" hidden="0" customWidth="1"/>
    <x:col min="9" max="9" width="24" hidden="0" customWidth="1"/>
    <x:col min="10" max="10" width="15" hidden="0" customWidth="1"/>
  </x:cols>
  <x:sheetData>
    <x:row r="1">
      <x:c r="A1" s="52" t="str">
        <x:v>Research, Interviews, and Testing Log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5" t="str">
        <x:v>ID</x:v>
      </x:c>
      <x:c r="B3" s="55" t="str">
        <x:v>Type</x:v>
      </x:c>
      <x:c r="C3" s="55" t="str">
        <x:v>Participant / Group</x:v>
      </x:c>
      <x:c r="D3" s="55" t="str">
        <x:v>Perspective</x:v>
      </x:c>
      <x:c r="E3" s="55" t="str">
        <x:v>Date</x:v>
      </x:c>
      <x:c r="F3" s="55" t="str">
        <x:v>Main question</x:v>
      </x:c>
      <x:c r="G3" s="55" t="str">
        <x:v>Key finding</x:v>
      </x:c>
      <x:c r="H3" s="55" t="str">
        <x:v>Decision affected</x:v>
      </x:c>
      <x:c r="I3" s="55" t="str">
        <x:v>Follow-up</x:v>
      </x:c>
      <x:c r="J3" s="55" t="str">
        <x:v>Status</x:v>
      </x:c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58" t="str">
        <x:v>RT-01</x:v>
      </x:c>
      <x:c r="B4" s="58" t="str">
        <x:v>Student interview</x:v>
      </x:c>
      <x:c r="C4" s="58" t="str"/>
      <x:c r="D4" s="58" t="str">
        <x:v>First-year student</x:v>
      </x:c>
      <x:c r="E4" s="58" t="str"/>
      <x:c r="F4" s="58" t="str">
        <x:v>What makes career planning confusing early on?</x:v>
      </x:c>
      <x:c r="G4" s="58" t="str"/>
      <x:c r="H4" s="58" t="str">
        <x:v>Dashboard and onboarding</x:v>
      </x:c>
      <x:c r="I4" s="58" t="str"/>
      <x:c r="J4" s="58" t="str">
        <x:v>Planned</x:v>
      </x:c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58" t="str">
        <x:v>RT-02</x:v>
      </x:c>
      <x:c r="B5" s="58" t="str">
        <x:v>Student interview</x:v>
      </x:c>
      <x:c r="C5" s="58" t="str"/>
      <x:c r="D5" s="58" t="str">
        <x:v>Junior/senior student</x:v>
      </x:c>
      <x:c r="E5" s="58" t="str"/>
      <x:c r="F5" s="58" t="str">
        <x:v>Where do you currently track experiences, contacts, and applications?</x:v>
      </x:c>
      <x:c r="G5" s="58" t="str"/>
      <x:c r="H5" s="58" t="str">
        <x:v>Core workflow</x:v>
      </x:c>
      <x:c r="I5" s="58" t="str"/>
      <x:c r="J5" s="58" t="str">
        <x:v>Planned</x:v>
      </x:c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58" t="str">
        <x:v>RT-03</x:v>
      </x:c>
      <x:c r="B6" s="58" t="str">
        <x:v>Student interview</x:v>
      </x:c>
      <x:c r="C6" s="58" t="str"/>
      <x:c r="D6" s="58" t="str">
        <x:v>International student</x:v>
      </x:c>
      <x:c r="E6" s="58" t="str"/>
      <x:c r="F6" s="58" t="str">
        <x:v>What career information or deadlines are hardest to navigate?</x:v>
      </x:c>
      <x:c r="G6" s="58" t="str"/>
      <x:c r="H6" s="58" t="str">
        <x:v>Resources and privacy</x:v>
      </x:c>
      <x:c r="I6" s="58" t="str"/>
      <x:c r="J6" s="58" t="str">
        <x:v>Planned</x:v>
      </x:c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58" t="str">
        <x:v>RT-04</x:v>
      </x:c>
      <x:c r="B7" s="58" t="str">
        <x:v>Student interview</x:v>
      </x:c>
      <x:c r="C7" s="58" t="str"/>
      <x:c r="D7" s="58" t="str">
        <x:v>Student-athlete</x:v>
      </x:c>
      <x:c r="E7" s="58" t="str"/>
      <x:c r="F7" s="58" t="str">
        <x:v>What prevents you from using career services consistently?</x:v>
      </x:c>
      <x:c r="G7" s="58" t="str"/>
      <x:c r="H7" s="58" t="str">
        <x:v>Mobile/responsive design</x:v>
      </x:c>
      <x:c r="I7" s="58" t="str"/>
      <x:c r="J7" s="58" t="str">
        <x:v>Planned</x:v>
      </x:c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58" t="str">
        <x:v>RT-05</x:v>
      </x:c>
      <x:c r="B8" s="58" t="str">
        <x:v>Staff interview</x:v>
      </x:c>
      <x:c r="C8" s="58" t="str"/>
      <x:c r="D8" s="58" t="str">
        <x:v>Career Advisor</x:v>
      </x:c>
      <x:c r="E8" s="58" t="str"/>
      <x:c r="F8" s="58" t="str">
        <x:v>What information would improve advising preparation?</x:v>
      </x:c>
      <x:c r="G8" s="58" t="str"/>
      <x:c r="H8" s="58" t="str">
        <x:v>Advisor dashboard</x:v>
      </x:c>
      <x:c r="I8" s="58" t="str"/>
      <x:c r="J8" s="58" t="str">
        <x:v>Planned</x:v>
      </x:c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8" t="str">
        <x:v>RT-06</x:v>
      </x:c>
      <x:c r="B9" s="58" t="str">
        <x:v>Staff interview</x:v>
      </x:c>
      <x:c r="C9" s="58" t="str"/>
      <x:c r="D9" s="58" t="str">
        <x:v>Career Accelerator staff</x:v>
      </x:c>
      <x:c r="E9" s="58" t="str"/>
      <x:c r="F9" s="58" t="str">
        <x:v>Which student activities and outcomes should be tracked?</x:v>
      </x:c>
      <x:c r="G9" s="58" t="str"/>
      <x:c r="H9" s="58" t="str">
        <x:v>Success metrics</x:v>
      </x:c>
      <x:c r="I9" s="58" t="str"/>
      <x:c r="J9" s="58" t="str">
        <x:v>Planned</x:v>
      </x:c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8" t="str">
        <x:v>RT-07</x:v>
      </x:c>
      <x:c r="B10" s="58" t="str">
        <x:v>Faculty interview</x:v>
      </x:c>
      <x:c r="C10" s="58" t="str"/>
      <x:c r="D10" s="58" t="str">
        <x:v>Faculty Contributor</x:v>
      </x:c>
      <x:c r="E10" s="58" t="str"/>
      <x:c r="F10" s="58" t="str">
        <x:v>What career resources can faculty realistically share and maintain?</x:v>
      </x:c>
      <x:c r="G10" s="58" t="str"/>
      <x:c r="H10" s="58" t="str">
        <x:v>Faculty feature scope</x:v>
      </x:c>
      <x:c r="I10" s="58" t="str"/>
      <x:c r="J10" s="58" t="str">
        <x:v>Planned</x:v>
      </x:c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8" t="str">
        <x:v>RT-08</x:v>
      </x:c>
      <x:c r="B11" s="58" t="str">
        <x:v>Usability test</x:v>
      </x:c>
      <x:c r="C11" s="58" t="str"/>
      <x:c r="D11" s="58" t="str">
        <x:v>Student</x:v>
      </x:c>
      <x:c r="E11" s="58" t="str"/>
      <x:c r="F11" s="58" t="str">
        <x:v>Can the user add an experience and understand its skill evidence without help?</x:v>
      </x:c>
      <x:c r="G11" s="58" t="str"/>
      <x:c r="H11" s="58" t="str">
        <x:v>Experience flow</x:v>
      </x:c>
      <x:c r="I11" s="58" t="str"/>
      <x:c r="J11" s="58" t="str">
        <x:v>Planned</x:v>
      </x:c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8" t="str">
        <x:v>RT-09</x:v>
      </x:c>
      <x:c r="B12" s="58" t="str">
        <x:v>Security test</x:v>
      </x:c>
      <x:c r="C12" s="58" t="str"/>
      <x:c r="D12" s="58" t="str">
        <x:v>Test accounts</x:v>
      </x:c>
      <x:c r="E12" s="58" t="str"/>
      <x:c r="F12" s="58" t="str">
        <x:v>Can one user access another user's record by changing an ID?</x:v>
      </x:c>
      <x:c r="G12" s="58" t="str"/>
      <x:c r="H12" s="58" t="str">
        <x:v>Authorization</x:v>
      </x:c>
      <x:c r="I12" s="58" t="str"/>
      <x:c r="J12" s="58" t="str">
        <x:v>Planned</x:v>
      </x:c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58" t="str">
        <x:v>RT-10</x:v>
      </x:c>
      <x:c r="B13" s="58" t="str">
        <x:v>Accessibility test</x:v>
      </x:c>
      <x:c r="C13" s="58" t="str"/>
      <x:c r="D13" s="58" t="str">
        <x:v>Keyboard/screen-reader review</x:v>
      </x:c>
      <x:c r="E13" s="58" t="str"/>
      <x:c r="F13" s="58" t="str">
        <x:v>Can all core flows be completed without a mouse?</x:v>
      </x:c>
      <x:c r="G13" s="58" t="str"/>
      <x:c r="H13" s="58" t="str">
        <x:v>Accessibility</x:v>
      </x:c>
      <x:c r="I13" s="58" t="str"/>
      <x:c r="J13" s="58" t="str">
        <x:v>Planned</x:v>
      </x:c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58"/>
      <x:c r="B14" s="58"/>
      <x:c r="C14" s="58"/>
      <x:c r="D14" s="58"/>
      <x:c r="E14" s="58"/>
      <x:c r="F14" s="58"/>
      <x:c r="G14" s="58"/>
      <x:c r="H14" s="58"/>
      <x:c r="I14" s="58"/>
      <x:c r="J14" s="58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58"/>
      <x:c r="B15" s="58"/>
      <x:c r="C15" s="58"/>
      <x:c r="D15" s="58"/>
      <x:c r="E15" s="58"/>
      <x:c r="F15" s="58"/>
      <x:c r="G15" s="58"/>
      <x:c r="H15" s="58"/>
      <x:c r="I15" s="58"/>
      <x:c r="J15" s="58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8"/>
      <x:c r="B16" s="58"/>
      <x:c r="C16" s="58"/>
      <x:c r="D16" s="58"/>
      <x:c r="E16" s="58"/>
      <x:c r="F16" s="58"/>
      <x:c r="G16" s="58"/>
      <x:c r="H16" s="58"/>
      <x:c r="I16" s="58"/>
      <x:c r="J16" s="58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8"/>
      <x:c r="B17" s="58"/>
      <x:c r="C17" s="58"/>
      <x:c r="D17" s="58"/>
      <x:c r="E17" s="58"/>
      <x:c r="F17" s="58"/>
      <x:c r="G17" s="58"/>
      <x:c r="H17" s="58"/>
      <x:c r="I17" s="58"/>
      <x:c r="J17" s="58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8"/>
      <x:c r="B18" s="58"/>
      <x:c r="C18" s="58"/>
      <x:c r="D18" s="58"/>
      <x:c r="E18" s="58"/>
      <x:c r="F18" s="58"/>
      <x:c r="G18" s="58"/>
      <x:c r="H18" s="58"/>
      <x:c r="I18" s="58"/>
      <x:c r="J18" s="58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8"/>
      <x:c r="B19" s="58"/>
      <x:c r="C19" s="58"/>
      <x:c r="D19" s="58"/>
      <x:c r="E19" s="58"/>
      <x:c r="F19" s="58"/>
      <x:c r="G19" s="58"/>
      <x:c r="H19" s="58"/>
      <x:c r="I19" s="58"/>
      <x:c r="J19" s="58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8"/>
      <x:c r="B20" s="58"/>
      <x:c r="C20" s="58"/>
      <x:c r="D20" s="58"/>
      <x:c r="E20" s="58"/>
      <x:c r="F20" s="58"/>
      <x:c r="G20" s="58"/>
      <x:c r="H20" s="58"/>
      <x:c r="I20" s="58"/>
      <x:c r="J20" s="58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8"/>
      <x:c r="B21" s="58"/>
      <x:c r="C21" s="58"/>
      <x:c r="D21" s="58"/>
      <x:c r="E21" s="58"/>
      <x:c r="F21" s="58"/>
      <x:c r="G21" s="58"/>
      <x:c r="H21" s="58"/>
      <x:c r="I21" s="58"/>
      <x:c r="J21" s="58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8"/>
      <x:c r="B22" s="58"/>
      <x:c r="C22" s="58"/>
      <x:c r="D22" s="58"/>
      <x:c r="E22" s="58"/>
      <x:c r="F22" s="58"/>
      <x:c r="G22" s="58"/>
      <x:c r="H22" s="58"/>
      <x:c r="I22" s="58"/>
      <x:c r="J22" s="58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8"/>
      <x:c r="B23" s="58"/>
      <x:c r="C23" s="58"/>
      <x:c r="D23" s="58"/>
      <x:c r="E23" s="58"/>
      <x:c r="F23" s="58"/>
      <x:c r="G23" s="58"/>
      <x:c r="H23" s="58"/>
      <x:c r="I23" s="58"/>
      <x:c r="J23" s="58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8"/>
      <x:c r="B24" s="58"/>
      <x:c r="C24" s="58"/>
      <x:c r="D24" s="58"/>
      <x:c r="E24" s="58"/>
      <x:c r="F24" s="58"/>
      <x:c r="G24" s="58"/>
      <x:c r="H24" s="58"/>
      <x:c r="I24" s="58"/>
      <x:c r="J24" s="58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8"/>
      <x:c r="B25" s="58"/>
      <x:c r="C25" s="58"/>
      <x:c r="D25" s="58"/>
      <x:c r="E25" s="58"/>
      <x:c r="F25" s="58"/>
      <x:c r="G25" s="58"/>
      <x:c r="H25" s="58"/>
      <x:c r="I25" s="58"/>
      <x:c r="J25" s="58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8"/>
      <x:c r="B26" s="58"/>
      <x:c r="C26" s="58"/>
      <x:c r="D26" s="58"/>
      <x:c r="E26" s="58"/>
      <x:c r="F26" s="58"/>
      <x:c r="G26" s="58"/>
      <x:c r="H26" s="58"/>
      <x:c r="I26" s="58"/>
      <x:c r="J26" s="58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8"/>
      <x:c r="B27" s="58"/>
      <x:c r="C27" s="58"/>
      <x:c r="D27" s="58"/>
      <x:c r="E27" s="58"/>
      <x:c r="F27" s="58"/>
      <x:c r="G27" s="58"/>
      <x:c r="H27" s="58"/>
      <x:c r="I27" s="58"/>
      <x:c r="J27" s="58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8"/>
      <x:c r="B28" s="58"/>
      <x:c r="C28" s="58"/>
      <x:c r="D28" s="58"/>
      <x:c r="E28" s="58"/>
      <x:c r="F28" s="58"/>
      <x:c r="G28" s="58"/>
      <x:c r="H28" s="58"/>
      <x:c r="I28" s="58"/>
      <x:c r="J28" s="58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8"/>
      <x:c r="B29" s="58"/>
      <x:c r="C29" s="58"/>
      <x:c r="D29" s="58"/>
      <x:c r="E29" s="58"/>
      <x:c r="F29" s="58"/>
      <x:c r="G29" s="58"/>
      <x:c r="H29" s="58"/>
      <x:c r="I29" s="58"/>
      <x:c r="J29" s="58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8"/>
      <x:c r="B30" s="58"/>
      <x:c r="C30" s="58"/>
      <x:c r="D30" s="58"/>
      <x:c r="E30" s="58"/>
      <x:c r="F30" s="58"/>
      <x:c r="G30" s="58"/>
      <x:c r="H30" s="58"/>
      <x:c r="I30" s="58"/>
      <x:c r="J30" s="58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8"/>
      <x:c r="B31" s="58"/>
      <x:c r="C31" s="58"/>
      <x:c r="D31" s="58"/>
      <x:c r="E31" s="58"/>
      <x:c r="F31" s="58"/>
      <x:c r="G31" s="58"/>
      <x:c r="H31" s="58"/>
      <x:c r="I31" s="58"/>
      <x:c r="J31" s="58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8"/>
      <x:c r="B32" s="58"/>
      <x:c r="C32" s="58"/>
      <x:c r="D32" s="58"/>
      <x:c r="E32" s="58"/>
      <x:c r="F32" s="58"/>
      <x:c r="G32" s="58"/>
      <x:c r="H32" s="58"/>
      <x:c r="I32" s="58"/>
      <x:c r="J32" s="58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8"/>
      <x:c r="B33" s="58"/>
      <x:c r="C33" s="58"/>
      <x:c r="D33" s="58"/>
      <x:c r="E33" s="58"/>
      <x:c r="F33" s="58"/>
      <x:c r="G33" s="58"/>
      <x:c r="H33" s="58"/>
      <x:c r="I33" s="58"/>
      <x:c r="J33" s="58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8"/>
      <x:c r="B34" s="58"/>
      <x:c r="C34" s="58"/>
      <x:c r="D34" s="58"/>
      <x:c r="E34" s="58"/>
      <x:c r="F34" s="58"/>
      <x:c r="G34" s="58"/>
      <x:c r="H34" s="58"/>
      <x:c r="I34" s="58"/>
      <x:c r="J34" s="58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8"/>
      <x:c r="B35" s="58"/>
      <x:c r="C35" s="58"/>
      <x:c r="D35" s="58"/>
      <x:c r="E35" s="58"/>
      <x:c r="F35" s="58"/>
      <x:c r="G35" s="58"/>
      <x:c r="H35" s="58"/>
      <x:c r="I35" s="58"/>
      <x:c r="J35" s="58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8"/>
      <x:c r="B36" s="58"/>
      <x:c r="C36" s="58"/>
      <x:c r="D36" s="58"/>
      <x:c r="E36" s="58"/>
      <x:c r="F36" s="58"/>
      <x:c r="G36" s="58"/>
      <x:c r="H36" s="58"/>
      <x:c r="I36" s="58"/>
      <x:c r="J36" s="58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8"/>
      <x:c r="B37" s="58"/>
      <x:c r="C37" s="58"/>
      <x:c r="D37" s="58"/>
      <x:c r="E37" s="58"/>
      <x:c r="F37" s="58"/>
      <x:c r="G37" s="58"/>
      <x:c r="H37" s="58"/>
      <x:c r="I37" s="58"/>
      <x:c r="J37" s="58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8"/>
      <x:c r="B38" s="58"/>
      <x:c r="C38" s="58"/>
      <x:c r="D38" s="58"/>
      <x:c r="E38" s="58"/>
      <x:c r="F38" s="58"/>
      <x:c r="G38" s="58"/>
      <x:c r="H38" s="58"/>
      <x:c r="I38" s="58"/>
      <x:c r="J38" s="58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8"/>
      <x:c r="B39" s="58"/>
      <x:c r="C39" s="58"/>
      <x:c r="D39" s="58"/>
      <x:c r="E39" s="58"/>
      <x:c r="F39" s="58"/>
      <x:c r="G39" s="58"/>
      <x:c r="H39" s="58"/>
      <x:c r="I39" s="58"/>
      <x:c r="J39" s="58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8"/>
      <x:c r="B40" s="58"/>
      <x:c r="C40" s="58"/>
      <x:c r="D40" s="58"/>
      <x:c r="E40" s="58"/>
      <x:c r="F40" s="58"/>
      <x:c r="G40" s="58"/>
      <x:c r="H40" s="58"/>
      <x:c r="I40" s="58"/>
      <x:c r="J40" s="58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8"/>
      <x:c r="B41" s="58"/>
      <x:c r="C41" s="58"/>
      <x:c r="D41" s="58"/>
      <x:c r="E41" s="58"/>
      <x:c r="F41" s="58"/>
      <x:c r="G41" s="58"/>
      <x:c r="H41" s="58"/>
      <x:c r="I41" s="58"/>
      <x:c r="J41" s="58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8"/>
      <x:c r="B42" s="58"/>
      <x:c r="C42" s="58"/>
      <x:c r="D42" s="58"/>
      <x:c r="E42" s="58"/>
      <x:c r="F42" s="58"/>
      <x:c r="G42" s="58"/>
      <x:c r="H42" s="58"/>
      <x:c r="I42" s="58"/>
      <x:c r="J42" s="58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8"/>
      <x:c r="B43" s="58"/>
      <x:c r="C43" s="58"/>
      <x:c r="D43" s="58"/>
      <x:c r="E43" s="58"/>
      <x:c r="F43" s="58"/>
      <x:c r="G43" s="58"/>
      <x:c r="H43" s="58"/>
      <x:c r="I43" s="58"/>
      <x:c r="J43" s="58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8"/>
      <x:c r="B44" s="58"/>
      <x:c r="C44" s="58"/>
      <x:c r="D44" s="58"/>
      <x:c r="E44" s="58"/>
      <x:c r="F44" s="58"/>
      <x:c r="G44" s="58"/>
      <x:c r="H44" s="58"/>
      <x:c r="I44" s="58"/>
      <x:c r="J44" s="58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8"/>
      <x:c r="B45" s="58"/>
      <x:c r="C45" s="58"/>
      <x:c r="D45" s="58"/>
      <x:c r="E45" s="58"/>
      <x:c r="F45" s="58"/>
      <x:c r="G45" s="58"/>
      <x:c r="H45" s="58"/>
      <x:c r="I45" s="58"/>
      <x:c r="J45" s="58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8"/>
      <x:c r="B46" s="58"/>
      <x:c r="C46" s="58"/>
      <x:c r="D46" s="58"/>
      <x:c r="E46" s="58"/>
      <x:c r="F46" s="58"/>
      <x:c r="G46" s="58"/>
      <x:c r="H46" s="58"/>
      <x:c r="I46" s="58"/>
      <x:c r="J46" s="58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8"/>
      <x:c r="B47" s="58"/>
      <x:c r="C47" s="58"/>
      <x:c r="D47" s="58"/>
      <x:c r="E47" s="58"/>
      <x:c r="F47" s="58"/>
      <x:c r="G47" s="58"/>
      <x:c r="H47" s="58"/>
      <x:c r="I47" s="58"/>
      <x:c r="J47" s="58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8"/>
      <x:c r="B48" s="58"/>
      <x:c r="C48" s="58"/>
      <x:c r="D48" s="58"/>
      <x:c r="E48" s="58"/>
      <x:c r="F48" s="58"/>
      <x:c r="G48" s="58"/>
      <x:c r="H48" s="58"/>
      <x:c r="I48" s="58"/>
      <x:c r="J48" s="58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8"/>
      <x:c r="B49" s="58"/>
      <x:c r="C49" s="58"/>
      <x:c r="D49" s="58"/>
      <x:c r="E49" s="58"/>
      <x:c r="F49" s="58"/>
      <x:c r="G49" s="58"/>
      <x:c r="H49" s="58"/>
      <x:c r="I49" s="58"/>
      <x:c r="J49" s="58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8"/>
      <x:c r="B50" s="58"/>
      <x:c r="C50" s="58"/>
      <x:c r="D50" s="58"/>
      <x:c r="E50" s="58"/>
      <x:c r="F50" s="58"/>
      <x:c r="G50" s="58"/>
      <x:c r="H50" s="58"/>
      <x:c r="I50" s="58"/>
      <x:c r="J50" s="58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mergeCells>
    <x:mergeCell ref="A1:J1"/>
  </x:mergeCells>
  <x:dataValidations count="1">
    <x:dataValidation type="list" sqref="J4:J50">
      <x:formula1>"Planned,Scheduled,Complete,Needs Follow-up"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ca5021f5fd49d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30" hidden="0" customWidth="1"/>
    <x:col min="4" max="4" width="34" hidden="0" customWidth="1"/>
    <x:col min="5" max="5" width="28" hidden="0" customWidth="1"/>
    <x:col min="6" max="6" width="26" hidden="0" customWidth="1"/>
    <x:col min="7" max="7" width="28" hidden="0" customWidth="1"/>
    <x:col min="8" max="8" width="24" hidden="0" customWidth="1"/>
  </x:cols>
  <x:sheetData>
    <x:row r="1">
      <x:c r="A1" s="52" t="str">
        <x:v>Product and Technical Decision Log</x:v>
      </x:c>
      <x:c r="B1" s="52"/>
      <x:c r="C1" s="52"/>
      <x:c r="D1" s="52"/>
      <x:c r="E1" s="52"/>
      <x:c r="F1" s="52"/>
      <x:c r="G1" s="52"/>
      <x:c r="H1" s="52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5" t="str">
        <x:v>Decision ID</x:v>
      </x:c>
      <x:c r="B3" s="55" t="str">
        <x:v>Date</x:v>
      </x:c>
      <x:c r="C3" s="55" t="str">
        <x:v>Decision</x:v>
      </x:c>
      <x:c r="D3" s="55" t="str">
        <x:v>Reason</x:v>
      </x:c>
      <x:c r="E3" s="55" t="str">
        <x:v>Alternatives considered</x:v>
      </x:c>
      <x:c r="F3" s="55" t="str">
        <x:v>Evidence</x:v>
      </x:c>
      <x:c r="G3" s="55" t="str">
        <x:v>Impact</x:v>
      </x:c>
      <x:c r="H3" s="55" t="str">
        <x:v>Revisit when</x:v>
      </x:c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58" t="str">
        <x:v>DEC-001</x:v>
      </x:c>
      <x:c r="B4" s="70" t="n">
        <x:v>46225</x:v>
      </x:c>
      <x:c r="C4" s="58" t="str">
        <x:v>Build a responsive website before a native mobile app</x:v>
      </x:c>
      <x:c r="D4" s="58" t="str">
        <x:v>Faster delivery, one frontend, easier testing and maintenance</x:v>
      </x:c>
      <x:c r="E4" s="58" t="str">
        <x:v>Web + native app together</x:v>
      </x:c>
      <x:c r="F4" s="58" t="str">
        <x:v>Current project discussion</x:v>
      </x:c>
      <x:c r="G4" s="58" t="str">
        <x:v>Keeps MVP realistic</x:v>
      </x:c>
      <x:c r="H4" s="58" t="str">
        <x:v>Students demonstrate unmet mobile-only needs</x:v>
      </x:c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58" t="str">
        <x:v>DEC-002</x:v>
      </x:c>
      <x:c r="B5" s="70" t="n">
        <x:v>46225</x:v>
      </x:c>
      <x:c r="C5" s="58" t="str">
        <x:v>Use a reusable backend API</x:v>
      </x:c>
      <x:c r="D5" s="58" t="str">
        <x:v>Supports future mobile app and clean separation of concerns</x:v>
      </x:c>
      <x:c r="E5" s="58" t="str">
        <x:v>Frontend connected directly to database</x:v>
      </x:c>
      <x:c r="F5" s="58" t="str">
        <x:v>Security and scalability requirements</x:v>
      </x:c>
      <x:c r="G5" s="58" t="str">
        <x:v>Stronger architecture</x:v>
      </x:c>
      <x:c r="H5" s="58" t="str">
        <x:v>Only if platform constraints require another approach</x:v>
      </x:c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58" t="str">
        <x:v>DEC-003</x:v>
      </x:c>
      <x:c r="B6" s="70" t="n">
        <x:v>46225</x:v>
      </x:c>
      <x:c r="C6" s="58" t="str">
        <x:v>Make student data private by default</x:v>
      </x:c>
      <x:c r="D6" s="58" t="str">
        <x:v>Students should control access to personal career information</x:v>
      </x:c>
      <x:c r="E6" s="58" t="str">
        <x:v>Broad staff access</x:v>
      </x:c>
      <x:c r="F6" s="58" t="str">
        <x:v>Project values and privacy discussion</x:v>
      </x:c>
      <x:c r="G6" s="58" t="str">
        <x:v>Requires record-level permissions</x:v>
      </x:c>
      <x:c r="H6" s="58" t="str">
        <x:v>Institutional policy requires a clearly justified exception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58" t="str">
        <x:v>DEC-004</x:v>
      </x:c>
      <x:c r="B7" s="70" t="n">
        <x:v>46225</x:v>
      </x:c>
      <x:c r="C7" s="58" t="str">
        <x:v>Call direct student-support staff Career Advisors</x:v>
      </x:c>
      <x:c r="D7" s="58" t="str">
        <x:v>Clear and familiar student-facing name</x:v>
      </x:c>
      <x:c r="E7" s="58" t="str">
        <x:v>Career Center User, Staff</x:v>
      </x:c>
      <x:c r="F7" s="58" t="str">
        <x:v>Role discussion</x:v>
      </x:c>
      <x:c r="G7" s="58" t="str">
        <x:v>Better UX</x:v>
      </x:c>
      <x:c r="H7" s="58" t="str">
        <x:v>Career Center prefers another official title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58" t="str">
        <x:v>DEC-005</x:v>
      </x:c>
      <x:c r="B8" s="70" t="n">
        <x:v>46225</x:v>
      </x:c>
      <x:c r="C8" s="58" t="str">
        <x:v>Include faculty resources before recommendation letters</x:v>
      </x:c>
      <x:c r="D8" s="58" t="str">
        <x:v>Lower complexity and immediate institutional value</x:v>
      </x:c>
      <x:c r="E8" s="58" t="str">
        <x:v>Build both in MVP</x:v>
      </x:c>
      <x:c r="F8" s="58" t="str">
        <x:v>Scope discussion</x:v>
      </x:c>
      <x:c r="G8" s="58" t="str">
        <x:v>Recommendation workflow moves to phase 2</x:v>
      </x:c>
      <x:c r="H8" s="58" t="str">
        <x:v>Core MVP is stable</x:v>
      </x:c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8" t="str">
        <x:v>DEC-006</x:v>
      </x:c>
      <x:c r="B9" s="70" t="n">
        <x:v>46225</x:v>
      </x:c>
      <x:c r="C9" s="58" t="str">
        <x:v>Optimize for student usefulness, not only competition scoring</x:v>
      </x:c>
      <x:c r="D9" s="58" t="str">
        <x:v>Primary mission is to help L&amp;C students and strengthen the program</x:v>
      </x:c>
      <x:c r="E9" s="58" t="str">
        <x:v>Competition-first feature selection</x:v>
      </x:c>
      <x:c r="F9" s="58" t="str">
        <x:v>Project mission</x:v>
      </x:c>
      <x:c r="G9" s="58" t="str">
        <x:v>Guides all prioritization</x:v>
      </x:c>
      <x:c r="H9" s="58" t="str">
        <x:v>Never; this is a core principle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3"/>
      <x:c r="B10" s="53"/>
      <x:c r="C10" s="53"/>
      <x:c r="D10" s="53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3"/>
      <x:c r="B11" s="53"/>
      <x:c r="C11" s="53"/>
      <x:c r="D11" s="53"/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3"/>
      <x:c r="B12" s="53"/>
      <x:c r="C12" s="53"/>
      <x:c r="D12" s="53"/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53"/>
      <x:c r="B13" s="53"/>
      <x:c r="C13" s="53"/>
      <x:c r="D13" s="53"/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53"/>
      <x:c r="B14" s="53"/>
      <x:c r="C14" s="53"/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22" hidden="0" customWidth="1"/>
    <x:col min="5" max="5" width="28" hidden="0" customWidth="1"/>
    <x:col min="6" max="6" width="28" hidden="0" customWidth="1"/>
    <x:col min="7" max="7" width="14" hidden="0" customWidth="1"/>
  </x:cols>
  <x:sheetData>
    <x:row r="1">
      <x:c r="A1" s="52" t="str">
        <x:v>Competition Alignment Without Losing the Mission</x:v>
      </x:c>
      <x:c r="B1" s="52"/>
      <x:c r="C1" s="52"/>
      <x:c r="D1" s="52"/>
      <x:c r="E1" s="52"/>
      <x:c r="F1" s="52"/>
      <x:c r="G1" s="52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5" t="str">
        <x:v>Challenge area / criterion</x:v>
      </x:c>
      <x:c r="B3" s="55" t="str">
        <x:v>Our feature or evidence</x:v>
      </x:c>
      <x:c r="C3" s="55" t="str">
        <x:v>Student benefit</x:v>
      </x:c>
      <x:c r="D3" s="55" t="str">
        <x:v>Competition benefit</x:v>
      </x:c>
      <x:c r="E3" s="55" t="str">
        <x:v>Risk of over-optimizing</x:v>
      </x:c>
      <x:c r="F3" s="55" t="str">
        <x:v>Mitigation</x:v>
      </x:c>
      <x:c r="G3" s="55" t="str">
        <x:v>Status</x:v>
      </x:c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58" t="str">
        <x:v>Experience tracking</x:v>
      </x:c>
      <x:c r="B4" s="58" t="str">
        <x:v>Experience tracker with reflection and reusable evidence</x:v>
      </x:c>
      <x:c r="C4" s="58" t="str">
        <x:v>Students remember and explain their growth</x:v>
      </x:c>
      <x:c r="D4" s="58" t="str">
        <x:v>Strong problem relevance</x:v>
      </x:c>
      <x:c r="E4" s="58" t="str">
        <x:v>Turning it into a complicated portfolio builder</x:v>
      </x:c>
      <x:c r="F4" s="58" t="str">
        <x:v>Keep entry fast and test with students</x:v>
      </x:c>
      <x:c r="G4" s="58" t="str">
        <x:v>Planned</x:v>
      </x:c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58" t="str">
        <x:v>Professional networking</x:v>
      </x:c>
      <x:c r="B5" s="58" t="str">
        <x:v>Private contact and follow-up tracker</x:v>
      </x:c>
      <x:c r="C5" s="58" t="str">
        <x:v>Students maintain relationships intentionally</x:v>
      </x:c>
      <x:c r="D5" s="58" t="str">
        <x:v>Directly addresses challenge</x:v>
      </x:c>
      <x:c r="E5" s="58" t="str">
        <x:v>Collecting too much sensitive information</x:v>
      </x:c>
      <x:c r="F5" s="58" t="str">
        <x:v>Minimize fields and keep notes private</x:v>
      </x:c>
      <x:c r="G5" s="58" t="str">
        <x:v>Planned</x:v>
      </x:c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58" t="str">
        <x:v>Skills development</x:v>
      </x:c>
      <x:c r="B6" s="58" t="str">
        <x:v>Skills evidence map</x:v>
      </x:c>
      <x:c r="C6" s="58" t="str">
        <x:v>Students connect claims to proof</x:v>
      </x:c>
      <x:c r="D6" s="58" t="str">
        <x:v>Innovative connection between records</x:v>
      </x:c>
      <x:c r="E6" s="58" t="str">
        <x:v>Artificial readiness scores</x:v>
      </x:c>
      <x:c r="F6" s="58" t="str">
        <x:v>Use transparent evidence, not unexplained scoring</x:v>
      </x:c>
      <x:c r="G6" s="58" t="str">
        <x:v>Planned</x:v>
      </x:c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58" t="str">
        <x:v>Career readiness</x:v>
      </x:c>
      <x:c r="B7" s="58" t="str">
        <x:v>Tasks and one next action</x:v>
      </x:c>
      <x:c r="C7" s="58" t="str">
        <x:v>Reduces overwhelm</x:v>
      </x:c>
      <x:c r="D7" s="58" t="str">
        <x:v>Strong UX story</x:v>
      </x:c>
      <x:c r="E7" s="58" t="str">
        <x:v>Gamification without real value</x:v>
      </x:c>
      <x:c r="F7" s="58" t="str">
        <x:v>Tie tasks to Career Center guidance</x:v>
      </x:c>
      <x:c r="G7" s="58" t="str">
        <x:v>Planned</x:v>
      </x:c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58" t="str">
        <x:v>User experience</x:v>
      </x:c>
      <x:c r="B8" s="58" t="str">
        <x:v>Responsive, role-specific flows</x:v>
      </x:c>
      <x:c r="C8" s="58" t="str">
        <x:v>Easy use across devices</x:v>
      </x:c>
      <x:c r="D8" s="58" t="str">
        <x:v>Largest scoring category</x:v>
      </x:c>
      <x:c r="E8" s="58" t="str">
        <x:v>Polishing before validating</x:v>
      </x:c>
      <x:c r="F8" s="58" t="str">
        <x:v>Test low-fidelity designs first</x:v>
      </x:c>
      <x:c r="G8" s="58" t="str">
        <x:v>Planned</x:v>
      </x:c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8" t="str">
        <x:v>Technical execution</x:v>
      </x:c>
      <x:c r="B9" s="58" t="str">
        <x:v>Backend API, PostgreSQL, role/access checks</x:v>
      </x:c>
      <x:c r="C9" s="58" t="str">
        <x:v>Reliable and extensible system</x:v>
      </x:c>
      <x:c r="D9" s="58" t="str">
        <x:v>Demonstrates full-stack ability</x:v>
      </x:c>
      <x:c r="E9" s="58" t="str">
        <x:v>Building infrastructure nobody needs</x:v>
      </x:c>
      <x:c r="F9" s="58" t="str">
        <x:v>Build only what core workflows require</x:v>
      </x:c>
      <x:c r="G9" s="58" t="str">
        <x:v>Planned</x:v>
      </x:c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8" t="str">
        <x:v>Innovation</x:v>
      </x:c>
      <x:c r="B10" s="58" t="str">
        <x:v>Faculty resources and connected evidence</x:v>
      </x:c>
      <x:c r="C10" s="58" t="str">
        <x:v>Uses L&amp;C community strengths</x:v>
      </x:c>
      <x:c r="D10" s="58" t="str">
        <x:v>Distinctive concept</x:v>
      </x:c>
      <x:c r="E10" s="58" t="str">
        <x:v>Adding features only to look novel</x:v>
      </x:c>
      <x:c r="F10" s="58" t="str">
        <x:v>Require a validated student or staff need</x:v>
      </x:c>
      <x:c r="G10" s="58" t="str">
        <x:v>Planned</x:v>
      </x:c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8" t="str">
        <x:v>Accessibility</x:v>
      </x:c>
      <x:c r="B11" s="58" t="str">
        <x:v>Keyboard, contrast, labels, focus, mobile layout</x:v>
      </x:c>
      <x:c r="C11" s="58" t="str">
        <x:v>More students can use the system</x:v>
      </x:c>
      <x:c r="D11" s="58" t="str">
        <x:v>Protects accessibility points</x:v>
      </x:c>
      <x:c r="E11" s="58" t="str">
        <x:v>Treating accessibility as final checklist</x:v>
      </x:c>
      <x:c r="F11" s="58" t="str">
        <x:v>Test throughout development</x:v>
      </x:c>
      <x:c r="G11" s="58" t="str">
        <x:v>Planned</x:v>
      </x:c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3"/>
      <x:c r="B12" s="53"/>
      <x:c r="C12" s="53"/>
      <x:c r="D12" s="53"/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53"/>
      <x:c r="B13" s="53"/>
      <x:c r="C13" s="53"/>
      <x:c r="D13" s="53"/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53"/>
      <x:c r="B14" s="53"/>
      <x:c r="C14" s="53"/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mergeCells>
    <x:mergeCell ref="A1:G1"/>
  </x:mergeCells>
  <x:pageMargins left="0.7" right="0.7" top="0.75" bottom="0.75" header="0.3" footer="0.3"/>
</x:worksheet>
</file>